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Linda\Downloads\"/>
    </mc:Choice>
  </mc:AlternateContent>
  <xr:revisionPtr revIDLastSave="0" documentId="13_ncr:1_{0985AD59-0A39-4F60-BEFA-B770A7D0A932}" xr6:coauthVersionLast="47" xr6:coauthVersionMax="47" xr10:uidLastSave="{00000000-0000-0000-0000-000000000000}"/>
  <bookViews>
    <workbookView xWindow="-108" yWindow="-108" windowWidth="23256" windowHeight="12456" activeTab="2" xr2:uid="{00000000-000D-0000-FFFF-FFFF00000000}"/>
  </bookViews>
  <sheets>
    <sheet name="Datos_Agua" sheetId="1" r:id="rId1"/>
    <sheet name="LIMPIEZA DE DATOS" sheetId="3" r:id="rId2"/>
    <sheet name="DASHBOARD" sheetId="11" r:id="rId3"/>
    <sheet name="parametros" sheetId="4" r:id="rId4"/>
    <sheet name="LINEA T" sheetId="10" r:id="rId5"/>
  </sheets>
  <definedNames>
    <definedName name="ExternalData_1" localSheetId="1" hidden="1">'LIMPIEZA DE DATOS'!$A$1:$I$122</definedName>
    <definedName name="NativeTimeline_Fecha">#N/A</definedName>
    <definedName name="Slicer_Nivel_Riesgo1">#N/A</definedName>
    <definedName name="Slicer_Punto_Muestreo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1" l="1"/>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J122" i="3"/>
  <c r="K122" i="3"/>
  <c r="L42" i="3" a="1"/>
  <c r="L42" i="3" s="1"/>
  <c r="L43" i="3" a="1"/>
  <c r="L43" i="3" s="1"/>
  <c r="L44" i="3" a="1"/>
  <c r="L44" i="3" s="1"/>
  <c r="L45" i="3" a="1"/>
  <c r="L45" i="3" s="1"/>
  <c r="L46" i="3" a="1"/>
  <c r="L46" i="3" s="1"/>
  <c r="O46" i="3" s="1"/>
  <c r="L47" i="3" a="1"/>
  <c r="L47" i="3" s="1"/>
  <c r="O47" i="3" s="1"/>
  <c r="L48" i="3" a="1"/>
  <c r="L48" i="3" s="1"/>
  <c r="L49" i="3" a="1"/>
  <c r="L49" i="3" s="1"/>
  <c r="L50" i="3" a="1"/>
  <c r="L50" i="3" s="1"/>
  <c r="L51" i="3" a="1"/>
  <c r="L51" i="3" s="1"/>
  <c r="L52" i="3" a="1"/>
  <c r="L52" i="3" s="1"/>
  <c r="L53" i="3" a="1"/>
  <c r="L53" i="3" s="1"/>
  <c r="L54" i="3" a="1"/>
  <c r="L54" i="3" s="1"/>
  <c r="O54" i="3" s="1"/>
  <c r="L55" i="3" a="1"/>
  <c r="L55" i="3" s="1"/>
  <c r="O55" i="3" s="1"/>
  <c r="L56" i="3" a="1"/>
  <c r="L56" i="3" s="1"/>
  <c r="O56" i="3" s="1"/>
  <c r="L57" i="3" a="1"/>
  <c r="L57" i="3" s="1"/>
  <c r="O57" i="3" s="1"/>
  <c r="L58" i="3" a="1"/>
  <c r="L58" i="3" s="1"/>
  <c r="O58" i="3" s="1"/>
  <c r="L59" i="3" a="1"/>
  <c r="L59" i="3" s="1"/>
  <c r="O59" i="3" s="1"/>
  <c r="L83" i="3" a="1"/>
  <c r="L83" i="3" s="1"/>
  <c r="O83" i="3" s="1"/>
  <c r="L84" i="3" a="1"/>
  <c r="L84" i="3" s="1"/>
  <c r="O84" i="3" s="1"/>
  <c r="L85" i="3" a="1"/>
  <c r="L85" i="3" s="1"/>
  <c r="O85" i="3" s="1"/>
  <c r="L86" i="3" a="1"/>
  <c r="L86" i="3" s="1"/>
  <c r="O86" i="3" s="1"/>
  <c r="L87" i="3" a="1"/>
  <c r="L87" i="3" s="1"/>
  <c r="O87" i="3" s="1"/>
  <c r="L88" i="3" a="1"/>
  <c r="L88" i="3" s="1"/>
  <c r="L89" i="3" a="1"/>
  <c r="L89" i="3" s="1"/>
  <c r="O89" i="3" s="1"/>
  <c r="L90" i="3" a="1"/>
  <c r="L90" i="3" s="1"/>
  <c r="O90" i="3" s="1"/>
  <c r="L102" i="3" a="1"/>
  <c r="L102" i="3" s="1"/>
  <c r="O102" i="3" s="1"/>
  <c r="L103" i="3" a="1"/>
  <c r="L103" i="3" s="1"/>
  <c r="O103" i="3" s="1"/>
  <c r="L104" i="3" a="1"/>
  <c r="L104" i="3" s="1"/>
  <c r="O104" i="3" s="1"/>
  <c r="L105" i="3" a="1"/>
  <c r="L105" i="3" s="1"/>
  <c r="O105" i="3" s="1"/>
  <c r="L106" i="3" a="1"/>
  <c r="L106" i="3" s="1"/>
  <c r="O106" i="3" s="1"/>
  <c r="L107" i="3" a="1"/>
  <c r="L107" i="3" s="1"/>
  <c r="O107" i="3" s="1"/>
  <c r="L108" i="3" a="1"/>
  <c r="L108" i="3" s="1"/>
  <c r="O108" i="3" s="1"/>
  <c r="L109" i="3" a="1"/>
  <c r="L109" i="3" s="1"/>
  <c r="O109" i="3" s="1"/>
  <c r="L110" i="3" a="1"/>
  <c r="L110" i="3" s="1"/>
  <c r="O110" i="3" s="1"/>
  <c r="L111" i="3" a="1"/>
  <c r="L111" i="3" s="1"/>
  <c r="O111" i="3" s="1"/>
  <c r="L112" i="3" a="1"/>
  <c r="L112" i="3" s="1"/>
  <c r="O112" i="3" s="1"/>
  <c r="L113" i="3" a="1"/>
  <c r="L113" i="3" s="1"/>
  <c r="O113" i="3" s="1"/>
  <c r="L114" i="3" a="1"/>
  <c r="L114" i="3" s="1"/>
  <c r="L115" i="3" a="1"/>
  <c r="L115" i="3" s="1"/>
  <c r="L116" i="3" a="1"/>
  <c r="L116" i="3" s="1"/>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J2" i="3"/>
  <c r="J3" i="3"/>
  <c r="J4" i="3"/>
  <c r="L24" i="3" s="1" a="1"/>
  <c r="L24" i="3" s="1"/>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L77" i="3" s="1" a="1"/>
  <c r="L77" i="3" s="1"/>
  <c r="J52" i="3"/>
  <c r="J53" i="3"/>
  <c r="J54" i="3"/>
  <c r="L25" i="3" s="1" a="1"/>
  <c r="L25" i="3" s="1"/>
  <c r="J55" i="3"/>
  <c r="J56" i="3"/>
  <c r="J57" i="3"/>
  <c r="J58" i="3"/>
  <c r="J59" i="3"/>
  <c r="J60" i="3"/>
  <c r="J61" i="3"/>
  <c r="J62" i="3"/>
  <c r="L9" i="3" s="1" a="1"/>
  <c r="L9" i="3" s="1"/>
  <c r="J63" i="3"/>
  <c r="J64" i="3"/>
  <c r="L79" i="3" s="1" a="1"/>
  <c r="L79" i="3" s="1"/>
  <c r="J65" i="3"/>
  <c r="J66" i="3"/>
  <c r="J67" i="3"/>
  <c r="J68" i="3"/>
  <c r="J69" i="3"/>
  <c r="J70" i="3"/>
  <c r="J71" i="3"/>
  <c r="L10" i="3" s="1" a="1"/>
  <c r="L10" i="3" s="1"/>
  <c r="O10" i="3" s="1"/>
  <c r="J72" i="3"/>
  <c r="J73" i="3"/>
  <c r="L27" i="3" s="1" a="1"/>
  <c r="L27" i="3" s="1"/>
  <c r="O27" i="3" s="1"/>
  <c r="J74" i="3"/>
  <c r="J75" i="3"/>
  <c r="J76" i="3"/>
  <c r="J77" i="3"/>
  <c r="J78" i="3"/>
  <c r="J79" i="3"/>
  <c r="J80" i="3"/>
  <c r="J81" i="3"/>
  <c r="J82" i="3"/>
  <c r="L80" i="3" s="1" a="1"/>
  <c r="L80" i="3" s="1"/>
  <c r="J83" i="3"/>
  <c r="J84" i="3"/>
  <c r="J85" i="3"/>
  <c r="J86" i="3"/>
  <c r="J87" i="3"/>
  <c r="J88" i="3"/>
  <c r="L11" i="3" s="1" a="1"/>
  <c r="L11" i="3" s="1"/>
  <c r="O11" i="3" s="1"/>
  <c r="J89" i="3"/>
  <c r="J90" i="3"/>
  <c r="J91" i="3"/>
  <c r="J92" i="3"/>
  <c r="J93" i="3"/>
  <c r="J94" i="3"/>
  <c r="J95" i="3"/>
  <c r="J96" i="3"/>
  <c r="L29" i="3" s="1" a="1"/>
  <c r="L29" i="3" s="1"/>
  <c r="O29" i="3" s="1"/>
  <c r="J97" i="3"/>
  <c r="J98" i="3"/>
  <c r="J99" i="3"/>
  <c r="J100" i="3"/>
  <c r="J101" i="3"/>
  <c r="J102" i="3"/>
  <c r="J103" i="3"/>
  <c r="L14" i="3" s="1" a="1"/>
  <c r="L14" i="3" s="1"/>
  <c r="O14" i="3" s="1"/>
  <c r="J104" i="3"/>
  <c r="J105" i="3"/>
  <c r="J106" i="3"/>
  <c r="J107" i="3"/>
  <c r="J108" i="3"/>
  <c r="J109" i="3"/>
  <c r="J110" i="3"/>
  <c r="J111" i="3"/>
  <c r="L41" i="3" s="1" a="1"/>
  <c r="L41" i="3" s="1"/>
  <c r="O41" i="3" s="1"/>
  <c r="J112" i="3"/>
  <c r="J113" i="3"/>
  <c r="J114" i="3"/>
  <c r="J115" i="3"/>
  <c r="L82" i="3" s="1" a="1"/>
  <c r="L82" i="3" s="1"/>
  <c r="O82" i="3" s="1"/>
  <c r="J116" i="3"/>
  <c r="J117" i="3"/>
  <c r="J118" i="3"/>
  <c r="J119" i="3"/>
  <c r="J120" i="3"/>
  <c r="J121" i="3"/>
  <c r="O114" i="3" l="1"/>
  <c r="O48" i="3"/>
  <c r="O49" i="3"/>
  <c r="O50" i="3"/>
  <c r="O51" i="3"/>
  <c r="O52" i="3"/>
  <c r="O53" i="3"/>
  <c r="O115" i="3"/>
  <c r="O116" i="3"/>
  <c r="O24" i="3"/>
  <c r="O77" i="3"/>
  <c r="O25" i="3"/>
  <c r="O9" i="3"/>
  <c r="O79" i="3"/>
  <c r="O80" i="3"/>
  <c r="O42" i="3"/>
  <c r="O43" i="3"/>
  <c r="O44" i="3"/>
  <c r="O45" i="3"/>
  <c r="O88" i="3"/>
  <c r="L101" i="3" a="1"/>
  <c r="L101" i="3" s="1"/>
  <c r="O101" i="3" s="1"/>
  <c r="L70" i="3" a="1"/>
  <c r="L70" i="3" s="1"/>
  <c r="O70" i="3" s="1"/>
  <c r="L100" i="3" a="1"/>
  <c r="L100" i="3" s="1"/>
  <c r="O100" i="3" s="1"/>
  <c r="L71" i="3" a="1"/>
  <c r="L71" i="3" s="1"/>
  <c r="O71" i="3" s="1"/>
  <c r="L36" i="3" a="1"/>
  <c r="L36" i="3" s="1"/>
  <c r="O36" i="3" s="1"/>
  <c r="L68" i="3" a="1"/>
  <c r="L68" i="3" s="1"/>
  <c r="O68" i="3" s="1"/>
  <c r="L38" i="3" a="1"/>
  <c r="L38" i="3" s="1"/>
  <c r="O38" i="3" s="1"/>
  <c r="L6" i="3" a="1"/>
  <c r="L6" i="3" s="1"/>
  <c r="O6" i="3" s="1"/>
  <c r="L39" i="3" a="1"/>
  <c r="L39" i="3" s="1"/>
  <c r="O39" i="3" s="1"/>
  <c r="L7" i="3" a="1"/>
  <c r="L7" i="3" s="1"/>
  <c r="O7" i="3" s="1"/>
  <c r="L40" i="3" a="1"/>
  <c r="L40" i="3" s="1"/>
  <c r="O40" i="3" s="1"/>
  <c r="L121" i="3" a="1"/>
  <c r="L121" i="3" s="1"/>
  <c r="O121" i="3" s="1"/>
  <c r="L76" i="3" a="1"/>
  <c r="L76" i="3" s="1"/>
  <c r="O76" i="3" s="1"/>
  <c r="L75" i="3" a="1"/>
  <c r="L75" i="3" s="1"/>
  <c r="O75" i="3" s="1"/>
  <c r="L74" i="3" a="1"/>
  <c r="L74" i="3" s="1"/>
  <c r="O74" i="3" s="1"/>
  <c r="L73" i="3" a="1"/>
  <c r="L73" i="3" s="1"/>
  <c r="O73" i="3" s="1"/>
  <c r="L72" i="3" a="1"/>
  <c r="L72" i="3" s="1"/>
  <c r="O72" i="3" s="1"/>
  <c r="L15" i="3" a="1"/>
  <c r="L15" i="3" s="1"/>
  <c r="O15" i="3" s="1"/>
  <c r="L16" i="3" a="1"/>
  <c r="L16" i="3" s="1"/>
  <c r="O16" i="3" s="1"/>
  <c r="L17" i="3" a="1"/>
  <c r="L17" i="3" s="1"/>
  <c r="O17" i="3" s="1"/>
  <c r="L18" i="3" a="1"/>
  <c r="L18" i="3" s="1"/>
  <c r="O18" i="3" s="1"/>
  <c r="L19" i="3" a="1"/>
  <c r="L19" i="3" s="1"/>
  <c r="O19" i="3" s="1"/>
  <c r="L20" i="3" a="1"/>
  <c r="L20" i="3" s="1"/>
  <c r="O20" i="3" s="1"/>
  <c r="L21" i="3" a="1"/>
  <c r="L21" i="3" s="1"/>
  <c r="O21" i="3" s="1"/>
  <c r="L22" i="3" a="1"/>
  <c r="L22" i="3" s="1"/>
  <c r="O22" i="3" s="1"/>
  <c r="L23" i="3" a="1"/>
  <c r="L23" i="3" s="1"/>
  <c r="O23" i="3" s="1"/>
  <c r="L117" i="3" a="1"/>
  <c r="L117" i="3" s="1"/>
  <c r="O117" i="3" s="1"/>
  <c r="L118" i="3" a="1"/>
  <c r="L118" i="3" s="1"/>
  <c r="O118" i="3" s="1"/>
  <c r="L119" i="3" a="1"/>
  <c r="L119" i="3" s="1"/>
  <c r="O119" i="3" s="1"/>
  <c r="L120" i="3" a="1"/>
  <c r="L120" i="3" s="1"/>
  <c r="O120" i="3" s="1"/>
  <c r="L26" i="3" a="1"/>
  <c r="L26" i="3" s="1"/>
  <c r="O26" i="3" s="1"/>
  <c r="L78" i="3" a="1"/>
  <c r="L78" i="3" s="1"/>
  <c r="O78" i="3" s="1"/>
  <c r="L8" i="3" a="1"/>
  <c r="L8" i="3" s="1"/>
  <c r="O8" i="3" s="1"/>
  <c r="L12" i="3" a="1"/>
  <c r="L12" i="3" s="1"/>
  <c r="O12" i="3" s="1"/>
  <c r="L81" i="3" a="1"/>
  <c r="L81" i="3" s="1"/>
  <c r="O81" i="3" s="1"/>
  <c r="L28" i="3" a="1"/>
  <c r="L28" i="3" s="1"/>
  <c r="O28" i="3" s="1"/>
  <c r="L13" i="3" a="1"/>
  <c r="L13" i="3" s="1"/>
  <c r="O13" i="3" s="1"/>
  <c r="L94" i="3" a="1"/>
  <c r="L94" i="3" s="1"/>
  <c r="O94" i="3" s="1"/>
  <c r="L95" i="3" a="1"/>
  <c r="L95" i="3" s="1"/>
  <c r="O95" i="3" s="1"/>
  <c r="L63" i="3" a="1"/>
  <c r="L63" i="3" s="1"/>
  <c r="O63" i="3" s="1"/>
  <c r="L60" i="3" a="1"/>
  <c r="L60" i="3" s="1"/>
  <c r="O60" i="3" s="1"/>
  <c r="L62" i="3" a="1"/>
  <c r="L62" i="3" s="1"/>
  <c r="O62" i="3" s="1"/>
  <c r="L122" i="3" a="1"/>
  <c r="L122" i="3" s="1"/>
  <c r="O122" i="3" s="1"/>
  <c r="L30" i="3" a="1"/>
  <c r="L30" i="3" s="1"/>
  <c r="O30" i="3" s="1"/>
  <c r="L31" i="3" a="1"/>
  <c r="L31" i="3" s="1"/>
  <c r="O31" i="3" s="1"/>
  <c r="L32" i="3" a="1"/>
  <c r="L32" i="3" s="1"/>
  <c r="O32" i="3" s="1"/>
  <c r="L33" i="3" a="1"/>
  <c r="L33" i="3" s="1"/>
  <c r="O33" i="3" s="1"/>
  <c r="L64" i="3" a="1"/>
  <c r="L64" i="3" s="1"/>
  <c r="O64" i="3" s="1"/>
  <c r="L65" i="3" a="1"/>
  <c r="L65" i="3" s="1"/>
  <c r="O65" i="3" s="1"/>
  <c r="L92" i="3" a="1"/>
  <c r="L92" i="3" s="1"/>
  <c r="O92" i="3" s="1"/>
  <c r="L93" i="3" a="1"/>
  <c r="L93" i="3" s="1"/>
  <c r="O93" i="3" s="1"/>
  <c r="L3" i="3" a="1"/>
  <c r="L3" i="3" s="1"/>
  <c r="O2" i="3" s="1"/>
  <c r="L34" i="3" a="1"/>
  <c r="L34" i="3" s="1"/>
  <c r="O34" i="3" s="1"/>
  <c r="L66" i="3" a="1"/>
  <c r="L66" i="3" s="1"/>
  <c r="O66" i="3" s="1"/>
  <c r="L96" i="3" a="1"/>
  <c r="L96" i="3" s="1"/>
  <c r="O96" i="3" s="1"/>
  <c r="L35" i="3" a="1"/>
  <c r="L35" i="3" s="1"/>
  <c r="O35" i="3" s="1"/>
  <c r="L67" i="3" a="1"/>
  <c r="L67" i="3" s="1"/>
  <c r="O67" i="3" s="1"/>
  <c r="L2" i="3" a="1"/>
  <c r="L2" i="3" s="1"/>
  <c r="L97" i="3" a="1"/>
  <c r="L97" i="3" s="1"/>
  <c r="O97" i="3" s="1"/>
  <c r="L4" i="3" a="1"/>
  <c r="L4" i="3" s="1"/>
  <c r="L98" i="3" a="1"/>
  <c r="L98" i="3" s="1"/>
  <c r="O98" i="3" s="1"/>
  <c r="L5" i="3" a="1"/>
  <c r="L5" i="3" s="1"/>
  <c r="O5" i="3" s="1"/>
  <c r="L37" i="3" a="1"/>
  <c r="L37" i="3" s="1"/>
  <c r="O37" i="3" s="1"/>
  <c r="L69" i="3" a="1"/>
  <c r="L69" i="3" s="1"/>
  <c r="O69" i="3" s="1"/>
  <c r="L99" i="3" a="1"/>
  <c r="L99" i="3" s="1"/>
  <c r="O99" i="3" s="1"/>
  <c r="L91" i="3" a="1"/>
  <c r="L91" i="3" s="1"/>
  <c r="O91" i="3" s="1"/>
  <c r="L61" i="3" a="1"/>
  <c r="L61" i="3" s="1"/>
  <c r="O61" i="3" s="1"/>
  <c r="O4" i="3" l="1"/>
  <c r="O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E58CB7-390E-4EAC-88B3-289A1047EB3F}"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E8293E5C-44C4-4C40-9A7B-B398F3407AB3}"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<sst xmlns="http://schemas.openxmlformats.org/spreadsheetml/2006/main" count="792" uniqueCount="169">
  <si>
    <t>Fecha</t>
  </si>
  <si>
    <t>Punto_Muestreo</t>
  </si>
  <si>
    <t>pH</t>
  </si>
  <si>
    <t>Turbidez_NTU</t>
  </si>
  <si>
    <t>Dureza_mgL_CaCO3</t>
  </si>
  <si>
    <t>Cloruros_mgL</t>
  </si>
  <si>
    <t>Conductividad_uScm</t>
  </si>
  <si>
    <t>Cumple_Norma</t>
  </si>
  <si>
    <t>2025-01-01</t>
  </si>
  <si>
    <t>PTAR Sur</t>
  </si>
  <si>
    <t>NO</t>
  </si>
  <si>
    <t>2025-01-02</t>
  </si>
  <si>
    <t>Pozo 2</t>
  </si>
  <si>
    <t>SI</t>
  </si>
  <si>
    <t>2025-01-03</t>
  </si>
  <si>
    <t>2025-01-04</t>
  </si>
  <si>
    <t>Rio B</t>
  </si>
  <si>
    <t>2025-01-05</t>
  </si>
  <si>
    <t>PTAR Norte</t>
  </si>
  <si>
    <t>2025-01-06</t>
  </si>
  <si>
    <t>2025-01-07</t>
  </si>
  <si>
    <t>2025-01-08</t>
  </si>
  <si>
    <t>Rio A</t>
  </si>
  <si>
    <t>2025-01-09</t>
  </si>
  <si>
    <t>2025-01-10</t>
  </si>
  <si>
    <t>2025-01-11</t>
  </si>
  <si>
    <t>2025-01-12</t>
  </si>
  <si>
    <t>2025-01-13</t>
  </si>
  <si>
    <t>Pozo 1</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</si>
  <si>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</si>
  <si>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</si>
  <si>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</si>
  <si>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</si>
  <si>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</si>
  <si>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</si>
  <si>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</si>
  <si>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</si>
  <si>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</si>
  <si>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</si>
  <si>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</si>
  <si>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</si>
  <si>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</si>
  <si>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</si>
  <si>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</si>
  <si>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</si>
  <si>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</si>
  <si>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</si>
  <si>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</si>
  <si>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</si>
  <si>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</si>
  <si>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</si>
  <si>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</si>
  <si>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</si>
  <si>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</si>
  <si>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</si>
  <si>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</si>
  <si>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</si>
  <si>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</si>
  <si>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</si>
  <si>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</si>
  <si>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</si>
  <si>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</si>
  <si>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</si>
  <si>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</si>
  <si>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</si>
  <si>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</si>
  <si>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</si>
  <si>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</si>
  <si>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</si>
  <si>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</si>
  <si>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</si>
  <si>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</si>
  <si>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</si>
  <si>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</si>
  <si>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</si>
  <si>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</si>
  <si>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</si>
  <si>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</si>
  <si>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</si>
  <si>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</si>
  <si>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</si>
  <si>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</si>
  <si>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</si>
  <si>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</si>
  <si>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</si>
  <si>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</si>
  <si>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</si>
  <si>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</si>
  <si>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</si>
  <si>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</si>
  <si>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</si>
  <si>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</si>
  <si>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</si>
  <si>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</si>
  <si>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</si>
  <si>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</si>
  <si>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</si>
  <si>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</si>
  <si>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</si>
  <si>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</si>
  <si>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</si>
  <si>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</si>
  <si>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</si>
  <si>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</si>
  <si>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</si>
  <si>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</si>
  <si>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</si>
  <si>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</si>
  <si>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</si>
  <si>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</si>
  <si>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</si>
  <si>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</si>
  <si>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</si>
  <si>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</si>
  <si>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</si>
  <si>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</si>
  <si>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</si>
  <si>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</si>
  <si>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</si>
  <si>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</si>
  <si>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</si>
  <si>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</si>
  <si>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</si>
  <si>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</si>
  <si>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</si>
  <si>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</si>
  <si>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</si>
  <si>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</si>
  <si>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</si>
  <si>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</si>
  <si>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</si>
  <si>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</si>
  <si>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</si>
  <si>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</si>
  <si>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</si>
  <si>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</si>
  <si>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Validacion_pH</t>
  </si>
  <si>
    <t>OK</t>
  </si>
  <si>
    <t>Parámetro</t>
  </si>
  <si>
    <t>Min</t>
  </si>
  <si>
    <t>Max</t>
  </si>
  <si>
    <t>pH_Min</t>
  </si>
  <si>
    <t>pH_Max</t>
  </si>
  <si>
    <t>Cumple_pH</t>
  </si>
  <si>
    <t>Cumple_Turbidez</t>
  </si>
  <si>
    <t>Cumple_Cloruros</t>
  </si>
  <si>
    <t>Estado_Agua</t>
  </si>
  <si>
    <t>Nivel_Riesgo</t>
  </si>
  <si>
    <t>Row Labels</t>
  </si>
  <si>
    <t>Grand Total</t>
  </si>
  <si>
    <t>Critical</t>
  </si>
  <si>
    <t>Count of Estado_Agua</t>
  </si>
  <si>
    <t>ene</t>
  </si>
  <si>
    <t>feb</t>
  </si>
  <si>
    <t>mar</t>
  </si>
  <si>
    <t>abr</t>
  </si>
  <si>
    <t>Average of pH</t>
  </si>
  <si>
    <t>2025</t>
  </si>
  <si>
    <t>Out</t>
  </si>
  <si>
    <t>Count of Rows</t>
  </si>
  <si>
    <t>Showing trend insights for 'Turbidez_NTU' and 'Fecha'.</t>
  </si>
  <si>
    <t>Average of Dureza_mgL_CaCO3</t>
  </si>
  <si>
    <t>Panel de control de la calidad del agua</t>
  </si>
  <si>
    <t>PORCENTAJE DE CUMPLIMINETO:</t>
  </si>
  <si>
    <t>UBICACIÓN DE MAYOR RIESGO:</t>
  </si>
  <si>
    <t>SELECCIONE EL PERIODO A ANALIZAR:</t>
  </si>
  <si>
    <t>Average of Turbidez</t>
  </si>
  <si>
    <t>&lt;1/01/2025</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</si>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</sst>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i/>
      <sz val="11"/>
      <color rgb="FF000000"/>
      <name val="Calibri"/>
      <scheme val="minor"/>
    </font>
    <font>
      <b/>
      <sz val="28"/>
      <color theme="1"/>
      <name val="Calibri"/>
      <family val="2"/>
      <scheme val="minor"/>
    </font>
    <font>
      <sz val="48"/>
      <color theme="1"/>
      <name val="Aharoni"/>
      <charset val="177"/>
    </font>
    <font>
      <b/>
      <sz val="16"/>
      <color theme="1"/>
      <name val="Calibri"/>
      <family val="2"/>
      <scheme val="minor"/>
    </font>
    <font>
      <b/>
      <sz val="24"/>
      <color theme="1"/>
      <name val="Calibri"/>
      <family val="2"/>
      <scheme val="minor"/>
    </font>
    <font>
      <sz val="36"/>
      <color rgb="FFFF0000"/>
      <name val="Aharoni"/>
      <charset val="177"/>
    </font>
    <font>
      <b/>
      <sz val="14"/>
      <color theme="1"/>
      <name val="Calibri"/>
      <family val="2"/>
      <scheme val="minor"/>
    </font>
    <font>
      <sz val="16"/>
      <color theme="1"/>
      <name val="Calibri"/>
      <family val="2"/>
      <scheme val="minor"/>
    </font>
    <font>
      <b/>
      <sz val="16"/>
      <color rgb="FFFF0000"/>
      <name val="Calibri"/>
      <family val="2"/>
      <scheme val="minor"/>
    </font>
    <font>
      <b/>
      <sz val="24"/>
      <color rgb="FFFF0000"/>
      <name val="Calibri"/>
      <family val="2"/>
      <scheme val="minor"/>
    </font>
    <font>
      <sz val="14"/>
      <color theme="1"/>
      <name val="Calibri"/>
      <family val="2"/>
      <scheme val="minor"/>
    </font>
  </fonts>
  <fills count="7">
    <fill>
      <patternFill patternType="none"/>
    </fill>
    <fill>
      <patternFill patternType="gray125"/>
    </fill>
    <fill>
      <patternFill patternType="solid">
        <fgColor theme="8" tint="0.39997558519241921"/>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14"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4" fillId="0" borderId="0" xfId="0" applyFont="1" applyAlignment="1">
      <alignment horizontal="left" vertical="center"/>
    </xf>
    <xf numFmtId="0" fontId="0" fillId="3" borderId="0" xfId="0" applyFill="1"/>
    <xf numFmtId="9" fontId="6" fillId="3" borderId="0" xfId="1" applyFont="1" applyFill="1" applyAlignment="1"/>
    <xf numFmtId="0" fontId="8" fillId="3" borderId="0" xfId="0" applyFont="1" applyFill="1"/>
    <xf numFmtId="0" fontId="11" fillId="4" borderId="0" xfId="0" applyFont="1" applyFill="1"/>
    <xf numFmtId="0" fontId="12" fillId="3" borderId="0" xfId="0" applyFont="1" applyFill="1"/>
    <xf numFmtId="0" fontId="13" fillId="3" borderId="0" xfId="0" applyFont="1" applyFill="1"/>
    <xf numFmtId="0" fontId="0" fillId="6" borderId="0" xfId="0" applyFill="1"/>
    <xf numFmtId="0" fontId="8" fillId="6" borderId="0" xfId="0" applyFont="1" applyFill="1" applyAlignment="1">
      <alignment horizontal="center"/>
    </xf>
    <xf numFmtId="0" fontId="10" fillId="0" borderId="0" xfId="0" pivotButton="1" applyFont="1"/>
    <xf numFmtId="0" fontId="14" fillId="0" borderId="0" xfId="0" applyFont="1"/>
    <xf numFmtId="0" fontId="14" fillId="5" borderId="0" xfId="0" applyFont="1" applyFill="1"/>
    <xf numFmtId="0" fontId="14" fillId="0" borderId="0" xfId="0" applyFont="1" applyAlignment="1">
      <alignment horizontal="left"/>
    </xf>
    <xf numFmtId="0" fontId="14" fillId="5" borderId="0" xfId="0" applyFont="1" applyFill="1" applyAlignment="1">
      <alignment horizontal="left"/>
    </xf>
    <xf numFmtId="9" fontId="6" fillId="3" borderId="0" xfId="1" applyFont="1" applyFill="1" applyAlignment="1">
      <alignment horizontal="center"/>
    </xf>
    <xf numFmtId="0" fontId="14" fillId="2" borderId="0" xfId="0" applyFont="1" applyFill="1"/>
    <xf numFmtId="0" fontId="14" fillId="6" borderId="0" xfId="0" applyFont="1" applyFill="1" applyAlignment="1">
      <alignment horizontal="left"/>
    </xf>
    <xf numFmtId="164" fontId="14" fillId="6" borderId="0" xfId="0" applyNumberFormat="1" applyFont="1" applyFill="1"/>
    <xf numFmtId="0" fontId="14" fillId="6" borderId="0" xfId="0" applyFont="1" applyFill="1" applyAlignment="1">
      <alignment horizontal="left" indent="1"/>
    </xf>
    <xf numFmtId="2" fontId="14" fillId="6" borderId="0" xfId="0" applyNumberFormat="1" applyFont="1" applyFill="1"/>
    <xf numFmtId="0" fontId="4" fillId="3" borderId="0" xfId="0" applyFont="1" applyFill="1" applyAlignment="1">
      <alignment horizontal="left" vertical="center"/>
    </xf>
    <xf numFmtId="0" fontId="11" fillId="2" borderId="0" xfId="0" applyFont="1" applyFill="1"/>
    <xf numFmtId="0" fontId="11" fillId="6" borderId="0" xfId="0" applyFont="1" applyFill="1"/>
    <xf numFmtId="14" fontId="11" fillId="6" borderId="0" xfId="0" applyNumberFormat="1" applyFont="1" applyFill="1"/>
    <xf numFmtId="0" fontId="11" fillId="3" borderId="0" xfId="0" applyFont="1" applyFill="1"/>
    <xf numFmtId="0" fontId="7" fillId="3" borderId="0" xfId="0" applyFont="1" applyFill="1" applyAlignment="1">
      <alignment horizontal="center"/>
    </xf>
    <xf numFmtId="0" fontId="8" fillId="3" borderId="0" xfId="0" applyFont="1" applyFill="1" applyAlignment="1">
      <alignment horizontal="center"/>
    </xf>
    <xf numFmtId="0" fontId="0" fillId="0" borderId="0" xfId="0" applyAlignment="1">
      <alignment horizontal="center"/>
    </xf>
    <xf numFmtId="0" fontId="0" fillId="3" borderId="0" xfId="0" applyFill="1" applyAlignment="1">
      <alignment horizontal="center"/>
    </xf>
    <xf numFmtId="9" fontId="9" fillId="3" borderId="0" xfId="1" applyFont="1" applyFill="1" applyBorder="1" applyAlignment="1">
      <alignment horizontal="center"/>
    </xf>
    <xf numFmtId="0" fontId="5" fillId="2" borderId="0" xfId="0" applyFont="1" applyFill="1" applyAlignment="1">
      <alignment horizontal="center"/>
    </xf>
    <xf numFmtId="0" fontId="0" fillId="0" borderId="0" xfId="0" applyNumberFormat="1"/>
    <xf numFmtId="0" fontId="14" fillId="6" borderId="0" xfId="0" applyNumberFormat="1" applyFont="1" applyFill="1"/>
    <xf numFmtId="0" fontId="14" fillId="0" borderId="0" xfId="0" applyNumberFormat="1" applyFont="1"/>
    <xf numFmtId="0" fontId="14" fillId="5" borderId="0" xfId="0" applyNumberFormat="1" applyFont="1" applyFill="1"/>
    <xf numFmtId="0" fontId="11" fillId="6" borderId="0" xfId="0" applyNumberFormat="1" applyFont="1" applyFill="1"/>
    <xf numFmtId="0" fontId="11" fillId="2" borderId="0" xfId="0" applyNumberFormat="1" applyFont="1" applyFill="1"/>
  </cellXfs>
  <cellStyles count="2">
    <cellStyle name="Normal" xfId="0" builtinId="0"/>
    <cellStyle name="Percent" xfId="1" builtinId="5"/>
  </cellStyles>
  <dxfs count="67">
    <dxf>
      <font>
        <b/>
        <strike val="0"/>
        <outline val="0"/>
        <shadow val="0"/>
        <u val="none"/>
        <vertAlign val="baseline"/>
        <sz val="16"/>
        <color rgb="FFFF0000"/>
        <name val="Calibri"/>
        <family val="2"/>
        <scheme val="minor"/>
      </font>
      <fill>
        <patternFill patternType="solid">
          <fgColor indexed="64"/>
          <bgColor theme="0" tint="-4.9989318521683403E-2"/>
        </patternFill>
      </fill>
    </dxf>
    <dxf>
      <font>
        <b/>
        <strike val="0"/>
        <outline val="0"/>
        <shadow val="0"/>
        <u val="none"/>
        <vertAlign val="baseline"/>
        <sz val="24"/>
        <color rgb="FFFF0000"/>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6"/>
        <color theme="1"/>
        <name val="Calibri"/>
        <family val="2"/>
        <scheme val="minor"/>
      </font>
      <fill>
        <patternFill patternType="solid">
          <fgColor indexed="64"/>
          <bgColor theme="0" tint="-4.9989318521683403E-2"/>
        </patternFill>
      </fill>
    </dxf>
    <dxf>
      <font>
        <strike val="0"/>
        <outline val="0"/>
        <shadow val="0"/>
        <u val="none"/>
        <vertAlign val="baseline"/>
        <sz val="16"/>
        <color theme="1"/>
        <name val="Calibri"/>
        <family val="2"/>
        <scheme val="minor"/>
      </font>
    </dxf>
    <dxf>
      <font>
        <sz val="16"/>
      </font>
    </dxf>
    <dxf>
      <font>
        <sz val="16"/>
      </font>
    </dxf>
    <dxf>
      <font>
        <sz val="16"/>
      </font>
    </dxf>
    <dxf>
      <font>
        <sz val="16"/>
      </font>
    </dxf>
    <dxf>
      <font>
        <sz val="16"/>
      </font>
    </dxf>
    <dxf>
      <font>
        <sz val="16"/>
      </font>
    </dxf>
    <dxf>
      <fill>
        <patternFill>
          <bgColor theme="8" tint="0.39997558519241921"/>
        </patternFill>
      </fill>
    </dxf>
    <dxf>
      <fill>
        <patternFill>
          <bgColor theme="8" tint="0.399975585192419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4"/>
      </font>
    </dxf>
    <dxf>
      <font>
        <sz val="14"/>
      </font>
    </dxf>
    <dxf>
      <font>
        <sz val="14"/>
      </font>
    </dxf>
    <dxf>
      <font>
        <sz val="14"/>
      </font>
    </dxf>
    <dxf>
      <font>
        <sz val="14"/>
      </font>
    </dxf>
    <dxf>
      <font>
        <sz val="14"/>
      </font>
    </dxf>
    <dxf>
      <font>
        <sz val="14"/>
      </font>
    </dxf>
    <dxf>
      <fill>
        <patternFill>
          <bgColor theme="8" tint="0.39997558519241921"/>
        </patternFill>
      </fill>
    </dxf>
    <dxf>
      <fill>
        <patternFill>
          <bgColor theme="8" tint="0.399975585192419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2" formatCode="0.00"/>
    </dxf>
    <dxf>
      <numFmt numFmtId="164" formatCode="0.0"/>
    </dxf>
    <dxf>
      <numFmt numFmtId="164" formatCode="0.0"/>
    </dxf>
    <dxf>
      <font>
        <sz val="14"/>
      </font>
    </dxf>
    <dxf>
      <font>
        <sz val="14"/>
      </font>
    </dxf>
    <dxf>
      <font>
        <sz val="14"/>
      </font>
    </dxf>
    <dxf>
      <font>
        <sz val="14"/>
      </font>
    </dxf>
    <dxf>
      <font>
        <sz val="14"/>
      </font>
    </dxf>
    <dxf>
      <font>
        <sz val="14"/>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b/>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'Turbidez_NTU' by 'Nivel_Riesgo</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50800" dist="50800" dir="5400000" algn="ctr" rotWithShape="0">
              <a:srgbClr val="FF0000"/>
            </a:outerShdw>
          </a:effectLst>
        </c:spPr>
      </c:pivotFmt>
      <c:pivotFmt>
        <c:idx val="4"/>
        <c:spPr>
          <a:solidFill>
            <a:schemeClr val="accent6"/>
          </a:solidFill>
          <a:ln>
            <a:noFill/>
          </a:ln>
          <a:effectLst>
            <a:outerShdw blurRad="50800" dist="50800" dir="5400000" algn="ctr" rotWithShape="0">
              <a:srgbClr val="FFC000"/>
            </a:outerShdw>
          </a:effectLst>
        </c:spPr>
      </c:pivotFmt>
    </c:pivotFmts>
    <c:plotArea>
      <c:layout/>
      <c:barChart>
        <c:barDir val="bar"/>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2">
                  <a:lumMod val="75000"/>
                </a:schemeClr>
              </a:solidFill>
              <a:ln>
                <a:noFill/>
              </a:ln>
              <a:effectLst>
                <a:outerShdw blurRad="50800" dist="50800" dir="5400000" algn="ctr" rotWithShape="0">
                  <a:srgbClr val="FF0000"/>
                </a:outerShdw>
              </a:effectLst>
            </c:spPr>
            <c:extLst>
              <c:ext xmlns:c16="http://schemas.microsoft.com/office/drawing/2014/chart" uri="{C3380CC4-5D6E-409C-BE32-E72D297353CC}">
                <c16:uniqueId val="{00000001-93CC-47FA-B7EE-7A4482FD40F6}"/>
              </c:ext>
            </c:extLst>
          </c:dPt>
          <c:dPt>
            <c:idx val="1"/>
            <c:invertIfNegative val="0"/>
            <c:bubble3D val="0"/>
            <c:spPr>
              <a:solidFill>
                <a:schemeClr val="accent6"/>
              </a:solidFill>
              <a:ln>
                <a:noFill/>
              </a:ln>
              <a:effectLst>
                <a:outerShdw blurRad="50800" dist="50800" dir="5400000" algn="ctr" rotWithShape="0">
                  <a:srgbClr val="FFC000"/>
                </a:outerShdw>
              </a:effectLst>
            </c:spPr>
            <c:extLst>
              <c:ext xmlns:c16="http://schemas.microsoft.com/office/drawing/2014/chart" uri="{C3380CC4-5D6E-409C-BE32-E72D297353CC}">
                <c16:uniqueId val="{00000002-93CC-47FA-B7EE-7A4482FD40F6}"/>
              </c:ext>
            </c:extLst>
          </c:dPt>
          <c:cat>
            <c:strLit>
              <c:ptCount val="2"/>
              <c:pt idx="0">
                <c:v>Critical</c:v>
              </c:pt>
              <c:pt idx="1">
                <c:v>Medium Risk</c:v>
              </c:pt>
            </c:strLit>
          </c:cat>
          <c:val>
            <c:numLit>
              <c:formatCode>General</c:formatCode>
              <c:ptCount val="2"/>
              <c:pt idx="0">
                <c:v>10.978823529411766</c:v>
              </c:pt>
              <c:pt idx="1">
                <c:v>5.149320388349512</c:v>
              </c:pt>
            </c:numLit>
          </c:val>
          <c:extLst>
            <c:ext xmlns:c16="http://schemas.microsoft.com/office/drawing/2014/chart" uri="{C3380CC4-5D6E-409C-BE32-E72D297353CC}">
              <c16:uniqueId val="{00000000-93CC-47FA-B7EE-7A4482FD40F6}"/>
            </c:ext>
          </c:extLst>
        </c:ser>
        <c:dLbls>
          <c:showLegendKey val="0"/>
          <c:showVal val="0"/>
          <c:showCatName val="0"/>
          <c:showSerName val="0"/>
          <c:showPercent val="0"/>
          <c:showBubbleSize val="0"/>
        </c:dLbls>
        <c:gapWidth val="33"/>
        <c:overlap val="-30"/>
        <c:axId val="198005055"/>
        <c:axId val="198005535"/>
      </c:barChart>
      <c:catAx>
        <c:axId val="198005055"/>
        <c:scaling>
          <c:orientation val="maxMin"/>
        </c:scaling>
        <c:delete val="0"/>
        <c:axPos val="l"/>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s-CO" sz="1600" b="0">
                    <a:solidFill>
                      <a:schemeClr val="tx1"/>
                    </a:solidFill>
                  </a:rPr>
                  <a:t>Nivel_Riesgo</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s-CO"/>
          </a:p>
        </c:txPr>
        <c:crossAx val="198005535"/>
        <c:crosses val="autoZero"/>
        <c:auto val="1"/>
        <c:lblAlgn val="ctr"/>
        <c:lblOffset val="100"/>
        <c:noMultiLvlLbl val="0"/>
      </c:catAx>
      <c:valAx>
        <c:axId val="198005535"/>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s-CO" sz="1600">
                    <a:solidFill>
                      <a:schemeClr val="tx1"/>
                    </a:solidFill>
                  </a:rPr>
                  <a:t>Turbidez_NTU</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CO"/>
          </a:p>
        </c:txPr>
        <c:crossAx val="198005055"/>
        <c:crosses val="max"/>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r>
              <a:rPr lang="en-US"/>
              <a:t>CAMBIO DE pH y Turbidez en el tiempo</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es-CO"/>
        </a:p>
      </c:txPr>
    </c:title>
    <c:autoTitleDeleted val="0"/>
    <c:plotArea>
      <c:layout/>
      <c:lineChart>
        <c:grouping val="standard"/>
        <c:varyColors val="0"/>
        <c:ser>
          <c:idx val="0"/>
          <c:order val="0"/>
          <c:tx>
            <c:strRef>
              <c:f>'LIMPIEZA DE DATOS'!$C$1</c:f>
              <c:strCache>
                <c:ptCount val="1"/>
                <c:pt idx="0">
                  <c:v>pH</c:v>
                </c:pt>
              </c:strCache>
            </c:strRef>
          </c:tx>
          <c:spPr>
            <a:ln w="22225" cap="rnd">
              <a:solidFill>
                <a:schemeClr val="accent1"/>
              </a:solidFill>
            </a:ln>
            <a:effectLst>
              <a:glow rad="139700">
                <a:schemeClr val="accent1">
                  <a:satMod val="175000"/>
                  <a:alpha val="14000"/>
                </a:schemeClr>
              </a:glow>
            </a:effectLst>
          </c:spPr>
          <c:marker>
            <c:symbol val="none"/>
          </c:marker>
          <c:cat>
            <c:numRef>
              <c:f>'LIMPIEZA DE DATOS'!$A$2:$A$122</c:f>
              <c:numCache>
                <c:formatCode>m/d/yyyy</c:formatCode>
                <c:ptCount val="121"/>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pt idx="31">
                  <c:v>45689</c:v>
                </c:pt>
                <c:pt idx="32">
                  <c:v>45690</c:v>
                </c:pt>
                <c:pt idx="33">
                  <c:v>45691</c:v>
                </c:pt>
                <c:pt idx="34">
                  <c:v>45692</c:v>
                </c:pt>
                <c:pt idx="35">
                  <c:v>45693</c:v>
                </c:pt>
                <c:pt idx="36">
                  <c:v>45694</c:v>
                </c:pt>
                <c:pt idx="37">
                  <c:v>45695</c:v>
                </c:pt>
                <c:pt idx="38">
                  <c:v>45696</c:v>
                </c:pt>
                <c:pt idx="39">
                  <c:v>45697</c:v>
                </c:pt>
                <c:pt idx="40">
                  <c:v>45698</c:v>
                </c:pt>
                <c:pt idx="41">
                  <c:v>45699</c:v>
                </c:pt>
                <c:pt idx="42">
                  <c:v>45700</c:v>
                </c:pt>
                <c:pt idx="43">
                  <c:v>45701</c:v>
                </c:pt>
                <c:pt idx="44">
                  <c:v>45702</c:v>
                </c:pt>
                <c:pt idx="45">
                  <c:v>45703</c:v>
                </c:pt>
                <c:pt idx="46">
                  <c:v>45704</c:v>
                </c:pt>
                <c:pt idx="47">
                  <c:v>45705</c:v>
                </c:pt>
                <c:pt idx="48">
                  <c:v>45706</c:v>
                </c:pt>
                <c:pt idx="49">
                  <c:v>45707</c:v>
                </c:pt>
                <c:pt idx="50">
                  <c:v>45708</c:v>
                </c:pt>
                <c:pt idx="51">
                  <c:v>45709</c:v>
                </c:pt>
                <c:pt idx="52">
                  <c:v>45710</c:v>
                </c:pt>
                <c:pt idx="53">
                  <c:v>45711</c:v>
                </c:pt>
                <c:pt idx="54">
                  <c:v>45712</c:v>
                </c:pt>
                <c:pt idx="55">
                  <c:v>45713</c:v>
                </c:pt>
                <c:pt idx="56">
                  <c:v>45714</c:v>
                </c:pt>
                <c:pt idx="57">
                  <c:v>45715</c:v>
                </c:pt>
                <c:pt idx="58">
                  <c:v>45716</c:v>
                </c:pt>
                <c:pt idx="59">
                  <c:v>45717</c:v>
                </c:pt>
                <c:pt idx="60">
                  <c:v>45718</c:v>
                </c:pt>
                <c:pt idx="61">
                  <c:v>45719</c:v>
                </c:pt>
                <c:pt idx="62">
                  <c:v>45720</c:v>
                </c:pt>
                <c:pt idx="63">
                  <c:v>45721</c:v>
                </c:pt>
                <c:pt idx="64">
                  <c:v>45722</c:v>
                </c:pt>
                <c:pt idx="65">
                  <c:v>45723</c:v>
                </c:pt>
                <c:pt idx="66">
                  <c:v>45724</c:v>
                </c:pt>
                <c:pt idx="67">
                  <c:v>45725</c:v>
                </c:pt>
                <c:pt idx="68">
                  <c:v>45726</c:v>
                </c:pt>
                <c:pt idx="69">
                  <c:v>45727</c:v>
                </c:pt>
                <c:pt idx="70">
                  <c:v>45728</c:v>
                </c:pt>
                <c:pt idx="71">
                  <c:v>45729</c:v>
                </c:pt>
                <c:pt idx="72">
                  <c:v>45730</c:v>
                </c:pt>
                <c:pt idx="73">
                  <c:v>45731</c:v>
                </c:pt>
                <c:pt idx="74">
                  <c:v>45732</c:v>
                </c:pt>
                <c:pt idx="75">
                  <c:v>45733</c:v>
                </c:pt>
                <c:pt idx="76">
                  <c:v>45734</c:v>
                </c:pt>
                <c:pt idx="77">
                  <c:v>45735</c:v>
                </c:pt>
                <c:pt idx="78">
                  <c:v>45736</c:v>
                </c:pt>
                <c:pt idx="79">
                  <c:v>45737</c:v>
                </c:pt>
                <c:pt idx="80">
                  <c:v>45738</c:v>
                </c:pt>
                <c:pt idx="81">
                  <c:v>45739</c:v>
                </c:pt>
                <c:pt idx="82">
                  <c:v>45740</c:v>
                </c:pt>
                <c:pt idx="83">
                  <c:v>45741</c:v>
                </c:pt>
                <c:pt idx="84">
                  <c:v>45742</c:v>
                </c:pt>
                <c:pt idx="85">
                  <c:v>45743</c:v>
                </c:pt>
                <c:pt idx="86">
                  <c:v>45744</c:v>
                </c:pt>
                <c:pt idx="87">
                  <c:v>45745</c:v>
                </c:pt>
                <c:pt idx="88">
                  <c:v>45746</c:v>
                </c:pt>
                <c:pt idx="89">
                  <c:v>45747</c:v>
                </c:pt>
                <c:pt idx="90">
                  <c:v>45748</c:v>
                </c:pt>
                <c:pt idx="91">
                  <c:v>45749</c:v>
                </c:pt>
                <c:pt idx="92">
                  <c:v>45750</c:v>
                </c:pt>
                <c:pt idx="93">
                  <c:v>45751</c:v>
                </c:pt>
                <c:pt idx="94">
                  <c:v>45752</c:v>
                </c:pt>
                <c:pt idx="95">
                  <c:v>45753</c:v>
                </c:pt>
                <c:pt idx="96">
                  <c:v>45754</c:v>
                </c:pt>
                <c:pt idx="97">
                  <c:v>45755</c:v>
                </c:pt>
                <c:pt idx="98">
                  <c:v>45756</c:v>
                </c:pt>
                <c:pt idx="99">
                  <c:v>45757</c:v>
                </c:pt>
                <c:pt idx="100">
                  <c:v>45758</c:v>
                </c:pt>
                <c:pt idx="101">
                  <c:v>45759</c:v>
                </c:pt>
                <c:pt idx="102">
                  <c:v>45760</c:v>
                </c:pt>
                <c:pt idx="103">
                  <c:v>45761</c:v>
                </c:pt>
                <c:pt idx="104">
                  <c:v>45762</c:v>
                </c:pt>
                <c:pt idx="105">
                  <c:v>45763</c:v>
                </c:pt>
                <c:pt idx="106">
                  <c:v>45764</c:v>
                </c:pt>
                <c:pt idx="107">
                  <c:v>45765</c:v>
                </c:pt>
                <c:pt idx="108">
                  <c:v>45766</c:v>
                </c:pt>
                <c:pt idx="109">
                  <c:v>45767</c:v>
                </c:pt>
                <c:pt idx="110">
                  <c:v>45768</c:v>
                </c:pt>
                <c:pt idx="111">
                  <c:v>45769</c:v>
                </c:pt>
                <c:pt idx="112">
                  <c:v>45770</c:v>
                </c:pt>
                <c:pt idx="113">
                  <c:v>45771</c:v>
                </c:pt>
                <c:pt idx="114">
                  <c:v>45772</c:v>
                </c:pt>
                <c:pt idx="115">
                  <c:v>45773</c:v>
                </c:pt>
                <c:pt idx="116">
                  <c:v>45774</c:v>
                </c:pt>
                <c:pt idx="117">
                  <c:v>45775</c:v>
                </c:pt>
                <c:pt idx="118">
                  <c:v>45776</c:v>
                </c:pt>
                <c:pt idx="119">
                  <c:v>45777</c:v>
                </c:pt>
              </c:numCache>
            </c:numRef>
          </c:cat>
          <c:val>
            <c:numRef>
              <c:f>'LIMPIEZA DE DATOS'!$C$2:$C$122</c:f>
              <c:numCache>
                <c:formatCode>General</c:formatCode>
                <c:ptCount val="121"/>
                <c:pt idx="0">
                  <c:v>8.39</c:v>
                </c:pt>
                <c:pt idx="1">
                  <c:v>8.01</c:v>
                </c:pt>
                <c:pt idx="2">
                  <c:v>8.4</c:v>
                </c:pt>
                <c:pt idx="3">
                  <c:v>7.26</c:v>
                </c:pt>
                <c:pt idx="4">
                  <c:v>8.76</c:v>
                </c:pt>
                <c:pt idx="5">
                  <c:v>6.01</c:v>
                </c:pt>
                <c:pt idx="6">
                  <c:v>8.06</c:v>
                </c:pt>
                <c:pt idx="7">
                  <c:v>8.4700000000000006</c:v>
                </c:pt>
                <c:pt idx="8">
                  <c:v>6.9</c:v>
                </c:pt>
                <c:pt idx="9">
                  <c:v>8.4499999999999993</c:v>
                </c:pt>
                <c:pt idx="10">
                  <c:v>7.32</c:v>
                </c:pt>
                <c:pt idx="11">
                  <c:v>8.3699999999999992</c:v>
                </c:pt>
                <c:pt idx="12">
                  <c:v>6.2</c:v>
                </c:pt>
                <c:pt idx="13">
                  <c:v>7.19</c:v>
                </c:pt>
                <c:pt idx="14">
                  <c:v>6.98</c:v>
                </c:pt>
                <c:pt idx="15">
                  <c:v>8.2799999999999994</c:v>
                </c:pt>
                <c:pt idx="16">
                  <c:v>7.91</c:v>
                </c:pt>
                <c:pt idx="17">
                  <c:v>6.84</c:v>
                </c:pt>
                <c:pt idx="18">
                  <c:v>6.55</c:v>
                </c:pt>
                <c:pt idx="19">
                  <c:v>7.58</c:v>
                </c:pt>
                <c:pt idx="20">
                  <c:v>8.57</c:v>
                </c:pt>
                <c:pt idx="21">
                  <c:v>6.53</c:v>
                </c:pt>
                <c:pt idx="22">
                  <c:v>6.98</c:v>
                </c:pt>
                <c:pt idx="23">
                  <c:v>6.91</c:v>
                </c:pt>
                <c:pt idx="24">
                  <c:v>7.72</c:v>
                </c:pt>
                <c:pt idx="25">
                  <c:v>7.24</c:v>
                </c:pt>
                <c:pt idx="26">
                  <c:v>7.94</c:v>
                </c:pt>
                <c:pt idx="27">
                  <c:v>8.51</c:v>
                </c:pt>
                <c:pt idx="28">
                  <c:v>6.04</c:v>
                </c:pt>
                <c:pt idx="29">
                  <c:v>7.17</c:v>
                </c:pt>
                <c:pt idx="30">
                  <c:v>7.11</c:v>
                </c:pt>
                <c:pt idx="31">
                  <c:v>8.61</c:v>
                </c:pt>
                <c:pt idx="32">
                  <c:v>8.11</c:v>
                </c:pt>
                <c:pt idx="33">
                  <c:v>8.43</c:v>
                </c:pt>
                <c:pt idx="34">
                  <c:v>7.96</c:v>
                </c:pt>
                <c:pt idx="35">
                  <c:v>6.75</c:v>
                </c:pt>
                <c:pt idx="36">
                  <c:v>6.06</c:v>
                </c:pt>
                <c:pt idx="37">
                  <c:v>7.64</c:v>
                </c:pt>
                <c:pt idx="38">
                  <c:v>6.69</c:v>
                </c:pt>
                <c:pt idx="39">
                  <c:v>8.41</c:v>
                </c:pt>
                <c:pt idx="40">
                  <c:v>7.06</c:v>
                </c:pt>
                <c:pt idx="41">
                  <c:v>7.96</c:v>
                </c:pt>
                <c:pt idx="42">
                  <c:v>7.46</c:v>
                </c:pt>
                <c:pt idx="43">
                  <c:v>8.7799999999999994</c:v>
                </c:pt>
                <c:pt idx="44">
                  <c:v>7.11</c:v>
                </c:pt>
                <c:pt idx="45">
                  <c:v>7.34</c:v>
                </c:pt>
                <c:pt idx="46">
                  <c:v>6.34</c:v>
                </c:pt>
                <c:pt idx="47">
                  <c:v>7.85</c:v>
                </c:pt>
                <c:pt idx="48">
                  <c:v>7.77</c:v>
                </c:pt>
                <c:pt idx="49">
                  <c:v>8.0299999999999994</c:v>
                </c:pt>
                <c:pt idx="50">
                  <c:v>7.85</c:v>
                </c:pt>
                <c:pt idx="51">
                  <c:v>6.58</c:v>
                </c:pt>
                <c:pt idx="52">
                  <c:v>6.34</c:v>
                </c:pt>
                <c:pt idx="53">
                  <c:v>6.17</c:v>
                </c:pt>
                <c:pt idx="54">
                  <c:v>6.81</c:v>
                </c:pt>
                <c:pt idx="55">
                  <c:v>7.4</c:v>
                </c:pt>
                <c:pt idx="56">
                  <c:v>8.11</c:v>
                </c:pt>
                <c:pt idx="57">
                  <c:v>7.08</c:v>
                </c:pt>
                <c:pt idx="58">
                  <c:v>7.24</c:v>
                </c:pt>
                <c:pt idx="59">
                  <c:v>6.66</c:v>
                </c:pt>
                <c:pt idx="60">
                  <c:v>8.34</c:v>
                </c:pt>
                <c:pt idx="61">
                  <c:v>6.64</c:v>
                </c:pt>
                <c:pt idx="62">
                  <c:v>7.31</c:v>
                </c:pt>
                <c:pt idx="63">
                  <c:v>8.3800000000000008</c:v>
                </c:pt>
                <c:pt idx="64">
                  <c:v>7.88</c:v>
                </c:pt>
                <c:pt idx="65">
                  <c:v>7.19</c:v>
                </c:pt>
                <c:pt idx="66">
                  <c:v>7.71</c:v>
                </c:pt>
                <c:pt idx="67">
                  <c:v>8.25</c:v>
                </c:pt>
                <c:pt idx="68">
                  <c:v>8.34</c:v>
                </c:pt>
                <c:pt idx="69">
                  <c:v>8.32</c:v>
                </c:pt>
                <c:pt idx="70">
                  <c:v>6.44</c:v>
                </c:pt>
                <c:pt idx="71">
                  <c:v>6.98</c:v>
                </c:pt>
                <c:pt idx="72">
                  <c:v>8.4700000000000006</c:v>
                </c:pt>
                <c:pt idx="73">
                  <c:v>6.61</c:v>
                </c:pt>
                <c:pt idx="74">
                  <c:v>7.73</c:v>
                </c:pt>
                <c:pt idx="75">
                  <c:v>8.18</c:v>
                </c:pt>
                <c:pt idx="76">
                  <c:v>7.76</c:v>
                </c:pt>
                <c:pt idx="77">
                  <c:v>7.74</c:v>
                </c:pt>
                <c:pt idx="78">
                  <c:v>8.08</c:v>
                </c:pt>
                <c:pt idx="79">
                  <c:v>7.08</c:v>
                </c:pt>
                <c:pt idx="80">
                  <c:v>7.37</c:v>
                </c:pt>
                <c:pt idx="81">
                  <c:v>6.39</c:v>
                </c:pt>
                <c:pt idx="82">
                  <c:v>7.34</c:v>
                </c:pt>
                <c:pt idx="83">
                  <c:v>7.56</c:v>
                </c:pt>
                <c:pt idx="84">
                  <c:v>7.03</c:v>
                </c:pt>
                <c:pt idx="85">
                  <c:v>8.2100000000000009</c:v>
                </c:pt>
                <c:pt idx="86">
                  <c:v>6.85</c:v>
                </c:pt>
                <c:pt idx="87">
                  <c:v>7.03</c:v>
                </c:pt>
                <c:pt idx="88">
                  <c:v>7.34</c:v>
                </c:pt>
                <c:pt idx="89">
                  <c:v>6.89</c:v>
                </c:pt>
                <c:pt idx="90">
                  <c:v>7.61</c:v>
                </c:pt>
                <c:pt idx="91">
                  <c:v>7.68</c:v>
                </c:pt>
                <c:pt idx="92">
                  <c:v>7.38</c:v>
                </c:pt>
                <c:pt idx="93">
                  <c:v>8.0399999999999991</c:v>
                </c:pt>
                <c:pt idx="94">
                  <c:v>8.43</c:v>
                </c:pt>
                <c:pt idx="95">
                  <c:v>7.3</c:v>
                </c:pt>
                <c:pt idx="96">
                  <c:v>6.61</c:v>
                </c:pt>
                <c:pt idx="97">
                  <c:v>6.55</c:v>
                </c:pt>
                <c:pt idx="98">
                  <c:v>6.59</c:v>
                </c:pt>
                <c:pt idx="99">
                  <c:v>8.2200000000000006</c:v>
                </c:pt>
                <c:pt idx="100">
                  <c:v>8.6</c:v>
                </c:pt>
                <c:pt idx="101">
                  <c:v>7.36</c:v>
                </c:pt>
                <c:pt idx="102">
                  <c:v>6.5</c:v>
                </c:pt>
                <c:pt idx="103">
                  <c:v>7.49</c:v>
                </c:pt>
                <c:pt idx="104">
                  <c:v>6.46</c:v>
                </c:pt>
                <c:pt idx="105">
                  <c:v>8.2799999999999994</c:v>
                </c:pt>
                <c:pt idx="106">
                  <c:v>7.96</c:v>
                </c:pt>
                <c:pt idx="107">
                  <c:v>6.23</c:v>
                </c:pt>
                <c:pt idx="108">
                  <c:v>6.47</c:v>
                </c:pt>
                <c:pt idx="109">
                  <c:v>7.15</c:v>
                </c:pt>
                <c:pt idx="110">
                  <c:v>8.48</c:v>
                </c:pt>
                <c:pt idx="111">
                  <c:v>8.0399999999999991</c:v>
                </c:pt>
                <c:pt idx="112">
                  <c:v>8.17</c:v>
                </c:pt>
                <c:pt idx="113">
                  <c:v>8.69</c:v>
                </c:pt>
                <c:pt idx="114">
                  <c:v>6.22</c:v>
                </c:pt>
                <c:pt idx="115">
                  <c:v>7.61</c:v>
                </c:pt>
                <c:pt idx="116">
                  <c:v>7.1</c:v>
                </c:pt>
                <c:pt idx="117">
                  <c:v>7.89</c:v>
                </c:pt>
                <c:pt idx="118">
                  <c:v>7.43</c:v>
                </c:pt>
                <c:pt idx="119">
                  <c:v>8.67</c:v>
                </c:pt>
              </c:numCache>
            </c:numRef>
          </c:val>
          <c:smooth val="0"/>
          <c:extLst>
            <c:ext xmlns:c16="http://schemas.microsoft.com/office/drawing/2014/chart" uri="{C3380CC4-5D6E-409C-BE32-E72D297353CC}">
              <c16:uniqueId val="{00000000-D471-43BC-8EAB-066A9993A62D}"/>
            </c:ext>
          </c:extLst>
        </c:ser>
        <c:ser>
          <c:idx val="1"/>
          <c:order val="1"/>
          <c:tx>
            <c:strRef>
              <c:f>'LIMPIEZA DE DATOS'!$D$1</c:f>
              <c:strCache>
                <c:ptCount val="1"/>
                <c:pt idx="0">
                  <c:v>Turbidez_NTU</c:v>
                </c:pt>
              </c:strCache>
            </c:strRef>
          </c:tx>
          <c:spPr>
            <a:ln w="22225" cap="rnd">
              <a:solidFill>
                <a:schemeClr val="accent2"/>
              </a:solidFill>
            </a:ln>
            <a:effectLst>
              <a:glow rad="139700">
                <a:schemeClr val="accent2">
                  <a:satMod val="175000"/>
                  <a:alpha val="14000"/>
                </a:schemeClr>
              </a:glow>
            </a:effectLst>
          </c:spPr>
          <c:marker>
            <c:symbol val="none"/>
          </c:marker>
          <c:cat>
            <c:numRef>
              <c:f>'LIMPIEZA DE DATOS'!$A$2:$A$122</c:f>
              <c:numCache>
                <c:formatCode>m/d/yyyy</c:formatCode>
                <c:ptCount val="121"/>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pt idx="31">
                  <c:v>45689</c:v>
                </c:pt>
                <c:pt idx="32">
                  <c:v>45690</c:v>
                </c:pt>
                <c:pt idx="33">
                  <c:v>45691</c:v>
                </c:pt>
                <c:pt idx="34">
                  <c:v>45692</c:v>
                </c:pt>
                <c:pt idx="35">
                  <c:v>45693</c:v>
                </c:pt>
                <c:pt idx="36">
                  <c:v>45694</c:v>
                </c:pt>
                <c:pt idx="37">
                  <c:v>45695</c:v>
                </c:pt>
                <c:pt idx="38">
                  <c:v>45696</c:v>
                </c:pt>
                <c:pt idx="39">
                  <c:v>45697</c:v>
                </c:pt>
                <c:pt idx="40">
                  <c:v>45698</c:v>
                </c:pt>
                <c:pt idx="41">
                  <c:v>45699</c:v>
                </c:pt>
                <c:pt idx="42">
                  <c:v>45700</c:v>
                </c:pt>
                <c:pt idx="43">
                  <c:v>45701</c:v>
                </c:pt>
                <c:pt idx="44">
                  <c:v>45702</c:v>
                </c:pt>
                <c:pt idx="45">
                  <c:v>45703</c:v>
                </c:pt>
                <c:pt idx="46">
                  <c:v>45704</c:v>
                </c:pt>
                <c:pt idx="47">
                  <c:v>45705</c:v>
                </c:pt>
                <c:pt idx="48">
                  <c:v>45706</c:v>
                </c:pt>
                <c:pt idx="49">
                  <c:v>45707</c:v>
                </c:pt>
                <c:pt idx="50">
                  <c:v>45708</c:v>
                </c:pt>
                <c:pt idx="51">
                  <c:v>45709</c:v>
                </c:pt>
                <c:pt idx="52">
                  <c:v>45710</c:v>
                </c:pt>
                <c:pt idx="53">
                  <c:v>45711</c:v>
                </c:pt>
                <c:pt idx="54">
                  <c:v>45712</c:v>
                </c:pt>
                <c:pt idx="55">
                  <c:v>45713</c:v>
                </c:pt>
                <c:pt idx="56">
                  <c:v>45714</c:v>
                </c:pt>
                <c:pt idx="57">
                  <c:v>45715</c:v>
                </c:pt>
                <c:pt idx="58">
                  <c:v>45716</c:v>
                </c:pt>
                <c:pt idx="59">
                  <c:v>45717</c:v>
                </c:pt>
                <c:pt idx="60">
                  <c:v>45718</c:v>
                </c:pt>
                <c:pt idx="61">
                  <c:v>45719</c:v>
                </c:pt>
                <c:pt idx="62">
                  <c:v>45720</c:v>
                </c:pt>
                <c:pt idx="63">
                  <c:v>45721</c:v>
                </c:pt>
                <c:pt idx="64">
                  <c:v>45722</c:v>
                </c:pt>
                <c:pt idx="65">
                  <c:v>45723</c:v>
                </c:pt>
                <c:pt idx="66">
                  <c:v>45724</c:v>
                </c:pt>
                <c:pt idx="67">
                  <c:v>45725</c:v>
                </c:pt>
                <c:pt idx="68">
                  <c:v>45726</c:v>
                </c:pt>
                <c:pt idx="69">
                  <c:v>45727</c:v>
                </c:pt>
                <c:pt idx="70">
                  <c:v>45728</c:v>
                </c:pt>
                <c:pt idx="71">
                  <c:v>45729</c:v>
                </c:pt>
                <c:pt idx="72">
                  <c:v>45730</c:v>
                </c:pt>
                <c:pt idx="73">
                  <c:v>45731</c:v>
                </c:pt>
                <c:pt idx="74">
                  <c:v>45732</c:v>
                </c:pt>
                <c:pt idx="75">
                  <c:v>45733</c:v>
                </c:pt>
                <c:pt idx="76">
                  <c:v>45734</c:v>
                </c:pt>
                <c:pt idx="77">
                  <c:v>45735</c:v>
                </c:pt>
                <c:pt idx="78">
                  <c:v>45736</c:v>
                </c:pt>
                <c:pt idx="79">
                  <c:v>45737</c:v>
                </c:pt>
                <c:pt idx="80">
                  <c:v>45738</c:v>
                </c:pt>
                <c:pt idx="81">
                  <c:v>45739</c:v>
                </c:pt>
                <c:pt idx="82">
                  <c:v>45740</c:v>
                </c:pt>
                <c:pt idx="83">
                  <c:v>45741</c:v>
                </c:pt>
                <c:pt idx="84">
                  <c:v>45742</c:v>
                </c:pt>
                <c:pt idx="85">
                  <c:v>45743</c:v>
                </c:pt>
                <c:pt idx="86">
                  <c:v>45744</c:v>
                </c:pt>
                <c:pt idx="87">
                  <c:v>45745</c:v>
                </c:pt>
                <c:pt idx="88">
                  <c:v>45746</c:v>
                </c:pt>
                <c:pt idx="89">
                  <c:v>45747</c:v>
                </c:pt>
                <c:pt idx="90">
                  <c:v>45748</c:v>
                </c:pt>
                <c:pt idx="91">
                  <c:v>45749</c:v>
                </c:pt>
                <c:pt idx="92">
                  <c:v>45750</c:v>
                </c:pt>
                <c:pt idx="93">
                  <c:v>45751</c:v>
                </c:pt>
                <c:pt idx="94">
                  <c:v>45752</c:v>
                </c:pt>
                <c:pt idx="95">
                  <c:v>45753</c:v>
                </c:pt>
                <c:pt idx="96">
                  <c:v>45754</c:v>
                </c:pt>
                <c:pt idx="97">
                  <c:v>45755</c:v>
                </c:pt>
                <c:pt idx="98">
                  <c:v>45756</c:v>
                </c:pt>
                <c:pt idx="99">
                  <c:v>45757</c:v>
                </c:pt>
                <c:pt idx="100">
                  <c:v>45758</c:v>
                </c:pt>
                <c:pt idx="101">
                  <c:v>45759</c:v>
                </c:pt>
                <c:pt idx="102">
                  <c:v>45760</c:v>
                </c:pt>
                <c:pt idx="103">
                  <c:v>45761</c:v>
                </c:pt>
                <c:pt idx="104">
                  <c:v>45762</c:v>
                </c:pt>
                <c:pt idx="105">
                  <c:v>45763</c:v>
                </c:pt>
                <c:pt idx="106">
                  <c:v>45764</c:v>
                </c:pt>
                <c:pt idx="107">
                  <c:v>45765</c:v>
                </c:pt>
                <c:pt idx="108">
                  <c:v>45766</c:v>
                </c:pt>
                <c:pt idx="109">
                  <c:v>45767</c:v>
                </c:pt>
                <c:pt idx="110">
                  <c:v>45768</c:v>
                </c:pt>
                <c:pt idx="111">
                  <c:v>45769</c:v>
                </c:pt>
                <c:pt idx="112">
                  <c:v>45770</c:v>
                </c:pt>
                <c:pt idx="113">
                  <c:v>45771</c:v>
                </c:pt>
                <c:pt idx="114">
                  <c:v>45772</c:v>
                </c:pt>
                <c:pt idx="115">
                  <c:v>45773</c:v>
                </c:pt>
                <c:pt idx="116">
                  <c:v>45774</c:v>
                </c:pt>
                <c:pt idx="117">
                  <c:v>45775</c:v>
                </c:pt>
                <c:pt idx="118">
                  <c:v>45776</c:v>
                </c:pt>
                <c:pt idx="119">
                  <c:v>45777</c:v>
                </c:pt>
              </c:numCache>
            </c:numRef>
          </c:cat>
          <c:val>
            <c:numRef>
              <c:f>'LIMPIEZA DE DATOS'!$D$2:$D$122</c:f>
              <c:numCache>
                <c:formatCode>General</c:formatCode>
                <c:ptCount val="121"/>
                <c:pt idx="0">
                  <c:v>4.91</c:v>
                </c:pt>
                <c:pt idx="1">
                  <c:v>2.1</c:v>
                </c:pt>
                <c:pt idx="2">
                  <c:v>5.76</c:v>
                </c:pt>
                <c:pt idx="3">
                  <c:v>11.08</c:v>
                </c:pt>
                <c:pt idx="4">
                  <c:v>4.49</c:v>
                </c:pt>
                <c:pt idx="5">
                  <c:v>8.68</c:v>
                </c:pt>
                <c:pt idx="6">
                  <c:v>5.52</c:v>
                </c:pt>
                <c:pt idx="7">
                  <c:v>2.67</c:v>
                </c:pt>
                <c:pt idx="8">
                  <c:v>8.41</c:v>
                </c:pt>
                <c:pt idx="9">
                  <c:v>2.64</c:v>
                </c:pt>
                <c:pt idx="10">
                  <c:v>7.93</c:v>
                </c:pt>
                <c:pt idx="11">
                  <c:v>0.74</c:v>
                </c:pt>
                <c:pt idx="12">
                  <c:v>3.23</c:v>
                </c:pt>
                <c:pt idx="13">
                  <c:v>8</c:v>
                </c:pt>
                <c:pt idx="14">
                  <c:v>10.28</c:v>
                </c:pt>
                <c:pt idx="15">
                  <c:v>1.94</c:v>
                </c:pt>
                <c:pt idx="16">
                  <c:v>7.38</c:v>
                </c:pt>
                <c:pt idx="17">
                  <c:v>10.98</c:v>
                </c:pt>
                <c:pt idx="18">
                  <c:v>7.86</c:v>
                </c:pt>
                <c:pt idx="19">
                  <c:v>6.18</c:v>
                </c:pt>
                <c:pt idx="20">
                  <c:v>9.94</c:v>
                </c:pt>
                <c:pt idx="21">
                  <c:v>6.2</c:v>
                </c:pt>
                <c:pt idx="22">
                  <c:v>6.07</c:v>
                </c:pt>
                <c:pt idx="23">
                  <c:v>2.12</c:v>
                </c:pt>
                <c:pt idx="24">
                  <c:v>8.26</c:v>
                </c:pt>
                <c:pt idx="25">
                  <c:v>4.58</c:v>
                </c:pt>
                <c:pt idx="26">
                  <c:v>4.8499999999999996</c:v>
                </c:pt>
                <c:pt idx="27">
                  <c:v>8.93</c:v>
                </c:pt>
                <c:pt idx="28">
                  <c:v>9.11</c:v>
                </c:pt>
                <c:pt idx="29">
                  <c:v>3.74</c:v>
                </c:pt>
                <c:pt idx="30">
                  <c:v>2.97</c:v>
                </c:pt>
                <c:pt idx="31">
                  <c:v>3.75</c:v>
                </c:pt>
                <c:pt idx="32">
                  <c:v>9.2200000000000006</c:v>
                </c:pt>
                <c:pt idx="33">
                  <c:v>6.34</c:v>
                </c:pt>
                <c:pt idx="34">
                  <c:v>4</c:v>
                </c:pt>
                <c:pt idx="35">
                  <c:v>7.6</c:v>
                </c:pt>
                <c:pt idx="36">
                  <c:v>8.8800000000000008</c:v>
                </c:pt>
                <c:pt idx="37">
                  <c:v>3.66</c:v>
                </c:pt>
                <c:pt idx="38">
                  <c:v>9.2200000000000006</c:v>
                </c:pt>
                <c:pt idx="39">
                  <c:v>1.07</c:v>
                </c:pt>
                <c:pt idx="40">
                  <c:v>1.1399999999999999</c:v>
                </c:pt>
                <c:pt idx="41">
                  <c:v>6.04</c:v>
                </c:pt>
                <c:pt idx="42">
                  <c:v>0.99</c:v>
                </c:pt>
                <c:pt idx="43">
                  <c:v>10.49</c:v>
                </c:pt>
                <c:pt idx="44">
                  <c:v>5.45</c:v>
                </c:pt>
                <c:pt idx="45">
                  <c:v>8.24</c:v>
                </c:pt>
                <c:pt idx="46">
                  <c:v>7.97</c:v>
                </c:pt>
                <c:pt idx="47">
                  <c:v>0.89</c:v>
                </c:pt>
                <c:pt idx="48">
                  <c:v>11.77</c:v>
                </c:pt>
                <c:pt idx="49">
                  <c:v>4.6100000000000003</c:v>
                </c:pt>
                <c:pt idx="50">
                  <c:v>8.98</c:v>
                </c:pt>
                <c:pt idx="51">
                  <c:v>8.7100000000000009</c:v>
                </c:pt>
                <c:pt idx="52">
                  <c:v>10.67</c:v>
                </c:pt>
                <c:pt idx="53">
                  <c:v>0.72</c:v>
                </c:pt>
                <c:pt idx="54">
                  <c:v>3.78</c:v>
                </c:pt>
                <c:pt idx="55">
                  <c:v>6.11</c:v>
                </c:pt>
                <c:pt idx="56">
                  <c:v>9.5500000000000007</c:v>
                </c:pt>
                <c:pt idx="57">
                  <c:v>6.24</c:v>
                </c:pt>
                <c:pt idx="58">
                  <c:v>6.74</c:v>
                </c:pt>
                <c:pt idx="59">
                  <c:v>1.27</c:v>
                </c:pt>
                <c:pt idx="60">
                  <c:v>8.8800000000000008</c:v>
                </c:pt>
                <c:pt idx="61">
                  <c:v>3.76</c:v>
                </c:pt>
                <c:pt idx="62">
                  <c:v>6.46</c:v>
                </c:pt>
                <c:pt idx="63">
                  <c:v>7.94</c:v>
                </c:pt>
                <c:pt idx="64">
                  <c:v>2.92</c:v>
                </c:pt>
                <c:pt idx="65">
                  <c:v>4.25</c:v>
                </c:pt>
                <c:pt idx="66">
                  <c:v>3.61</c:v>
                </c:pt>
                <c:pt idx="67">
                  <c:v>6.15</c:v>
                </c:pt>
                <c:pt idx="68">
                  <c:v>5.89</c:v>
                </c:pt>
                <c:pt idx="69">
                  <c:v>10.43</c:v>
                </c:pt>
                <c:pt idx="70">
                  <c:v>7.92</c:v>
                </c:pt>
                <c:pt idx="71">
                  <c:v>6.5</c:v>
                </c:pt>
                <c:pt idx="72">
                  <c:v>9.59</c:v>
                </c:pt>
                <c:pt idx="73">
                  <c:v>11.93</c:v>
                </c:pt>
                <c:pt idx="74">
                  <c:v>5.84</c:v>
                </c:pt>
                <c:pt idx="75">
                  <c:v>0.5</c:v>
                </c:pt>
                <c:pt idx="76">
                  <c:v>10.94</c:v>
                </c:pt>
                <c:pt idx="77">
                  <c:v>6.61</c:v>
                </c:pt>
                <c:pt idx="78">
                  <c:v>5.53</c:v>
                </c:pt>
                <c:pt idx="79">
                  <c:v>2.64</c:v>
                </c:pt>
                <c:pt idx="80">
                  <c:v>10.33</c:v>
                </c:pt>
                <c:pt idx="81">
                  <c:v>11.71</c:v>
                </c:pt>
                <c:pt idx="82">
                  <c:v>5.08</c:v>
                </c:pt>
                <c:pt idx="83">
                  <c:v>2.76</c:v>
                </c:pt>
                <c:pt idx="84">
                  <c:v>5.62</c:v>
                </c:pt>
                <c:pt idx="85">
                  <c:v>0.9</c:v>
                </c:pt>
                <c:pt idx="86">
                  <c:v>7.89</c:v>
                </c:pt>
                <c:pt idx="87">
                  <c:v>1.17</c:v>
                </c:pt>
                <c:pt idx="88">
                  <c:v>6.32</c:v>
                </c:pt>
                <c:pt idx="89">
                  <c:v>6.85</c:v>
                </c:pt>
                <c:pt idx="90">
                  <c:v>11.16</c:v>
                </c:pt>
                <c:pt idx="91">
                  <c:v>10.74</c:v>
                </c:pt>
                <c:pt idx="92">
                  <c:v>3.75</c:v>
                </c:pt>
                <c:pt idx="93">
                  <c:v>1.75</c:v>
                </c:pt>
                <c:pt idx="94">
                  <c:v>6.61</c:v>
                </c:pt>
                <c:pt idx="95">
                  <c:v>4.01</c:v>
                </c:pt>
                <c:pt idx="96">
                  <c:v>3.61</c:v>
                </c:pt>
                <c:pt idx="97">
                  <c:v>2.14</c:v>
                </c:pt>
                <c:pt idx="98">
                  <c:v>2.71</c:v>
                </c:pt>
                <c:pt idx="99">
                  <c:v>5.44</c:v>
                </c:pt>
                <c:pt idx="100">
                  <c:v>7.08</c:v>
                </c:pt>
                <c:pt idx="101">
                  <c:v>10.130000000000001</c:v>
                </c:pt>
                <c:pt idx="102">
                  <c:v>3.03</c:v>
                </c:pt>
                <c:pt idx="103">
                  <c:v>7.9</c:v>
                </c:pt>
                <c:pt idx="104">
                  <c:v>4.1900000000000004</c:v>
                </c:pt>
                <c:pt idx="105">
                  <c:v>1.3</c:v>
                </c:pt>
                <c:pt idx="106">
                  <c:v>3.97</c:v>
                </c:pt>
                <c:pt idx="107">
                  <c:v>4.78</c:v>
                </c:pt>
                <c:pt idx="108">
                  <c:v>7.02</c:v>
                </c:pt>
                <c:pt idx="109">
                  <c:v>3.88</c:v>
                </c:pt>
                <c:pt idx="110">
                  <c:v>11.59</c:v>
                </c:pt>
                <c:pt idx="111">
                  <c:v>6.76</c:v>
                </c:pt>
                <c:pt idx="112">
                  <c:v>0.78</c:v>
                </c:pt>
                <c:pt idx="113">
                  <c:v>7.45</c:v>
                </c:pt>
                <c:pt idx="114">
                  <c:v>10.51</c:v>
                </c:pt>
                <c:pt idx="115">
                  <c:v>5.27</c:v>
                </c:pt>
                <c:pt idx="116">
                  <c:v>1.78</c:v>
                </c:pt>
                <c:pt idx="117">
                  <c:v>4.9800000000000004</c:v>
                </c:pt>
                <c:pt idx="118">
                  <c:v>11.9</c:v>
                </c:pt>
                <c:pt idx="119">
                  <c:v>2.23</c:v>
                </c:pt>
              </c:numCache>
            </c:numRef>
          </c:val>
          <c:smooth val="0"/>
          <c:extLst>
            <c:ext xmlns:c16="http://schemas.microsoft.com/office/drawing/2014/chart" uri="{C3380CC4-5D6E-409C-BE32-E72D297353CC}">
              <c16:uniqueId val="{00000001-D471-43BC-8EAB-066A9993A62D}"/>
            </c:ext>
          </c:extLst>
        </c:ser>
        <c:dLbls>
          <c:showLegendKey val="0"/>
          <c:showVal val="0"/>
          <c:showCatName val="0"/>
          <c:showSerName val="0"/>
          <c:showPercent val="0"/>
          <c:showBubbleSize val="0"/>
        </c:dLbls>
        <c:smooth val="0"/>
        <c:axId val="206104719"/>
        <c:axId val="206105199"/>
      </c:lineChart>
      <c:dateAx>
        <c:axId val="206104719"/>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s-CO" sz="1400"/>
                  <a:t>Fecha</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s-CO"/>
            </a:p>
          </c:txPr>
        </c:title>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s-CO"/>
          </a:p>
        </c:txPr>
        <c:crossAx val="206105199"/>
        <c:crosses val="autoZero"/>
        <c:auto val="1"/>
        <c:lblOffset val="100"/>
        <c:baseTimeUnit val="days"/>
      </c:dateAx>
      <c:valAx>
        <c:axId val="2061051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s-CO"/>
          </a:p>
        </c:txPr>
        <c:crossAx val="20610471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15000"/>
          <a:lumOff val="85000"/>
        </a:schemeClr>
      </a:solidFill>
      <a:round/>
    </a:ln>
    <a:effectLst/>
  </c:spPr>
  <c:txPr>
    <a:bodyPr/>
    <a:lstStyle/>
    <a:p>
      <a:pPr>
        <a:defRPr>
          <a:solidFill>
            <a:schemeClr val="tx1"/>
          </a:solidFill>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[Base_datos_calidad_agua.xlsx]LINEA T!PivotTable3</c:name>
    <c:fmtId val="6"/>
  </c:pivotSource>
  <c:chart>
    <c:title>
      <c:tx>
        <c:rich>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r>
              <a:rPr lang="en-US"/>
              <a:t>For 'Cumple_Cloruros: Out', 'Dureza_mgL_CaCO3' has an outlier at 'Fecha': 28/01/2025.</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rgbClr val="FFFF00"/>
            </a:solidFill>
            <a:ln>
              <a:noFill/>
            </a:ln>
            <a:effectLst>
              <a:glow rad="63500">
                <a:schemeClr val="accent1">
                  <a:satMod val="175000"/>
                  <a:alpha val="25000"/>
                </a:schemeClr>
              </a:glow>
            </a:effectLst>
          </c:spPr>
        </c:marker>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rgbClr val="FFFF00"/>
            </a:solidFill>
            <a:ln>
              <a:noFill/>
            </a:ln>
            <a:effectLst>
              <a:glow rad="63500">
                <a:schemeClr val="accent1">
                  <a:satMod val="175000"/>
                  <a:alpha val="25000"/>
                </a:schemeClr>
              </a:glow>
            </a:effectLst>
          </c:spPr>
        </c:marker>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rgbClr val="FFFF00"/>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'LINEA T'!$D$6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5"/>
            <c:marker>
              <c:symbol val="circle"/>
              <c:size val="4"/>
              <c:spPr>
                <a:solidFill>
                  <a:srgbClr val="FFFF00"/>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0-C522-45A9-8CAF-910AFCEF37D3}"/>
              </c:ext>
            </c:extLst>
          </c:dPt>
          <c:cat>
            <c:strRef>
              <c:f>'LINEA T'!$C$7:$C$18</c:f>
              <c:strCache>
                <c:ptCount val="11"/>
                <c:pt idx="0">
                  <c:v>1/01/2025</c:v>
                </c:pt>
                <c:pt idx="1">
                  <c:v>2/01/2025</c:v>
                </c:pt>
                <c:pt idx="2">
                  <c:v>22/01/2025</c:v>
                </c:pt>
                <c:pt idx="3">
                  <c:v>24/01/2025</c:v>
                </c:pt>
                <c:pt idx="4">
                  <c:v>27/01/2025</c:v>
                </c:pt>
                <c:pt idx="5">
                  <c:v>28/01/2025</c:v>
                </c:pt>
                <c:pt idx="6">
                  <c:v>1/02/2025</c:v>
                </c:pt>
                <c:pt idx="7">
                  <c:v>22/02/2025</c:v>
                </c:pt>
                <c:pt idx="8">
                  <c:v>11/04/2025</c:v>
                </c:pt>
                <c:pt idx="9">
                  <c:v>24/04/2025</c:v>
                </c:pt>
                <c:pt idx="10">
                  <c:v>(blank)</c:v>
                </c:pt>
              </c:strCache>
            </c:strRef>
          </c:cat>
          <c:val>
            <c:numRef>
              <c:f>'LINEA T'!$D$7:$D$18</c:f>
              <c:numCache>
                <c:formatCode>General</c:formatCode>
                <c:ptCount val="11"/>
                <c:pt idx="0">
                  <c:v>126.5</c:v>
                </c:pt>
                <c:pt idx="1">
                  <c:v>163</c:v>
                </c:pt>
                <c:pt idx="2">
                  <c:v>294.39999999999998</c:v>
                </c:pt>
                <c:pt idx="3">
                  <c:v>271.89999999999998</c:v>
                </c:pt>
                <c:pt idx="4">
                  <c:v>192.3</c:v>
                </c:pt>
                <c:pt idx="5">
                  <c:v>316.10000000000002</c:v>
                </c:pt>
                <c:pt idx="6">
                  <c:v>81.099999999999994</c:v>
                </c:pt>
                <c:pt idx="7">
                  <c:v>235.8</c:v>
                </c:pt>
                <c:pt idx="8">
                  <c:v>225.4</c:v>
                </c:pt>
                <c:pt idx="9">
                  <c:v>193.6</c:v>
                </c:pt>
              </c:numCache>
            </c:numRef>
          </c:val>
          <c:smooth val="0"/>
          <c:extLst>
            <c:ext xmlns:c16="http://schemas.microsoft.com/office/drawing/2014/chart" uri="{C3380CC4-5D6E-409C-BE32-E72D297353CC}">
              <c16:uniqueId val="{00000001-C522-45A9-8CAF-910AFCEF37D3}"/>
            </c:ext>
          </c:extLst>
        </c:ser>
        <c:dLbls>
          <c:showLegendKey val="0"/>
          <c:showVal val="0"/>
          <c:showCatName val="0"/>
          <c:showSerName val="0"/>
          <c:showPercent val="0"/>
          <c:showBubbleSize val="0"/>
        </c:dLbls>
        <c:marker val="1"/>
        <c:smooth val="0"/>
        <c:axId val="2107155119"/>
        <c:axId val="2107156079"/>
      </c:lineChart>
      <c:catAx>
        <c:axId val="21071551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s-CO"/>
                  <a:t>Fecha</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2107156079"/>
        <c:crosses val="autoZero"/>
        <c:auto val="1"/>
        <c:lblAlgn val="ctr"/>
        <c:lblOffset val="100"/>
        <c:noMultiLvlLbl val="0"/>
      </c:catAx>
      <c:valAx>
        <c:axId val="21071560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s-CO"/>
                  <a:t>Dureza_mgL_CaCO3</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21071551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15000"/>
          <a:lumOff val="85000"/>
        </a:schemeClr>
      </a:solidFill>
      <a:round/>
    </a:ln>
    <a:effectLst/>
  </c:spPr>
  <c:txPr>
    <a:bodyPr/>
    <a:lstStyle/>
    <a:p>
      <a:pPr>
        <a:defRPr>
          <a:solidFill>
            <a:schemeClr val="tx1"/>
          </a:solidFill>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[Base_datos_calidad_agua.xlsx]LINEA 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 'Cumple_Cloruros: Out', 'Dureza_mgL_CaCO3' has an outlier at 'Fecha': </a:t>
            </a:r>
            <a:r>
              <a:rPr lang="en-US">
                <a:solidFill>
                  <a:srgbClr val="DD5A13"/>
                </a:solidFill>
              </a:rPr>
              <a:t>28/01/2025</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ln w="28575" cap="rnd">
            <a:solidFill>
              <a:srgbClr val="D2D2D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D2D2D2"/>
            </a:solidFill>
            <a:prstDash val="solid"/>
            <a:round/>
          </a:ln>
          <a:effectLst/>
        </c:spPr>
        <c:marker>
          <c:symbol val="circle"/>
          <c:size val="7"/>
          <c:spPr>
            <a:solidFill>
              <a:srgbClr val="ED7331"/>
            </a:solidFill>
            <a:ln w="9525">
              <a:solidFill>
                <a:srgbClr val="FFFFFF"/>
              </a:solidFill>
              <a:prstDash val="solid"/>
            </a:ln>
            <a:effectLst/>
          </c:spPr>
        </c:marker>
      </c:pivotFmt>
    </c:pivotFmts>
    <c:plotArea>
      <c:layout/>
      <c:lineChart>
        <c:grouping val="standard"/>
        <c:varyColors val="0"/>
        <c:ser>
          <c:idx val="0"/>
          <c:order val="0"/>
          <c:tx>
            <c:strRef>
              <c:f>'LINEA T'!$D$6</c:f>
              <c:strCache>
                <c:ptCount val="1"/>
                <c:pt idx="0">
                  <c:v>Total</c:v>
                </c:pt>
              </c:strCache>
            </c:strRef>
          </c:tx>
          <c:spPr>
            <a:ln w="28575" cap="rnd">
              <a:solidFill>
                <a:srgbClr val="D2D2D2"/>
              </a:solidFill>
              <a:prstDash val="solid"/>
              <a:round/>
            </a:ln>
            <a:effectLst/>
          </c:spPr>
          <c:marker>
            <c:symbol val="none"/>
          </c:marker>
          <c:dPt>
            <c:idx val="5"/>
            <c:marker>
              <c:symbol val="circle"/>
              <c:size val="7"/>
              <c:spPr>
                <a:solidFill>
                  <a:srgbClr val="ED7331"/>
                </a:solidFill>
                <a:ln w="9525">
                  <a:solidFill>
                    <a:srgbClr val="FFFFFF"/>
                  </a:solidFill>
                  <a:prstDash val="solid"/>
                </a:ln>
                <a:effectLst/>
              </c:spPr>
            </c:marker>
            <c:bubble3D val="0"/>
          </c:dPt>
          <c:cat>
            <c:strRef>
              <c:f>'LINEA T'!$C$7:$C$18</c:f>
              <c:strCache>
                <c:ptCount val="11"/>
                <c:pt idx="0">
                  <c:v>1/01/2025</c:v>
                </c:pt>
                <c:pt idx="1">
                  <c:v>2/01/2025</c:v>
                </c:pt>
                <c:pt idx="2">
                  <c:v>22/01/2025</c:v>
                </c:pt>
                <c:pt idx="3">
                  <c:v>24/01/2025</c:v>
                </c:pt>
                <c:pt idx="4">
                  <c:v>27/01/2025</c:v>
                </c:pt>
                <c:pt idx="5">
                  <c:v>28/01/2025</c:v>
                </c:pt>
                <c:pt idx="6">
                  <c:v>1/02/2025</c:v>
                </c:pt>
                <c:pt idx="7">
                  <c:v>22/02/2025</c:v>
                </c:pt>
                <c:pt idx="8">
                  <c:v>11/04/2025</c:v>
                </c:pt>
                <c:pt idx="9">
                  <c:v>24/04/2025</c:v>
                </c:pt>
                <c:pt idx="10">
                  <c:v>(blank)</c:v>
                </c:pt>
              </c:strCache>
            </c:strRef>
          </c:cat>
          <c:val>
            <c:numRef>
              <c:f>'LINEA T'!$D$7:$D$18</c:f>
              <c:numCache>
                <c:formatCode>General</c:formatCode>
                <c:ptCount val="11"/>
                <c:pt idx="0">
                  <c:v>126.5</c:v>
                </c:pt>
                <c:pt idx="1">
                  <c:v>163</c:v>
                </c:pt>
                <c:pt idx="2">
                  <c:v>294.39999999999998</c:v>
                </c:pt>
                <c:pt idx="3">
                  <c:v>271.89999999999998</c:v>
                </c:pt>
                <c:pt idx="4">
                  <c:v>192.3</c:v>
                </c:pt>
                <c:pt idx="5">
                  <c:v>316.10000000000002</c:v>
                </c:pt>
                <c:pt idx="6">
                  <c:v>81.099999999999994</c:v>
                </c:pt>
                <c:pt idx="7">
                  <c:v>235.8</c:v>
                </c:pt>
                <c:pt idx="8">
                  <c:v>225.4</c:v>
                </c:pt>
                <c:pt idx="9">
                  <c:v>193.6</c:v>
                </c:pt>
              </c:numCache>
            </c:numRef>
          </c:val>
          <c:smooth val="0"/>
          <c:extLst>
            <c:ext xmlns:c16="http://schemas.microsoft.com/office/drawing/2014/chart" uri="{C3380CC4-5D6E-409C-BE32-E72D297353CC}">
              <c16:uniqueId val="{00000000-D093-4729-8D68-269A99B52E83}"/>
            </c:ext>
          </c:extLst>
        </c:ser>
        <c:dLbls>
          <c:showLegendKey val="0"/>
          <c:showVal val="0"/>
          <c:showCatName val="0"/>
          <c:showSerName val="0"/>
          <c:showPercent val="0"/>
          <c:showBubbleSize val="0"/>
        </c:dLbls>
        <c:smooth val="0"/>
        <c:axId val="2107155119"/>
        <c:axId val="2107156079"/>
      </c:lineChart>
      <c:catAx>
        <c:axId val="2107155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Fecha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107156079"/>
        <c:crosses val="autoZero"/>
        <c:auto val="1"/>
        <c:lblAlgn val="ctr"/>
        <c:lblOffset val="100"/>
        <c:noMultiLvlLbl val="0"/>
      </c:catAx>
      <c:valAx>
        <c:axId val="2107156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Dureza_mgL_CaCO3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1071551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1110392</xdr:colOff>
      <xdr:row>5</xdr:row>
      <xdr:rowOff>19222</xdr:rowOff>
    </xdr:from>
    <xdr:to>
      <xdr:col>16</xdr:col>
      <xdr:colOff>486531</xdr:colOff>
      <xdr:row>12</xdr:row>
      <xdr:rowOff>19925</xdr:rowOff>
    </xdr:to>
    <mc:AlternateContent xmlns:mc="http://schemas.openxmlformats.org/markup-compatibility/2006" xmlns:a14="http://schemas.microsoft.com/office/drawing/2010/main">
      <mc:Choice Requires="a14">
        <xdr:graphicFrame macro="">
          <xdr:nvGraphicFramePr>
            <xdr:cNvPr id="2" name="Punto_Muestreo">
              <a:extLst>
                <a:ext uri="{FF2B5EF4-FFF2-40B4-BE49-F238E27FC236}">
                  <a16:creationId xmlns:a16="http://schemas.microsoft.com/office/drawing/2014/main" id="{27370CC9-B674-596D-7A89-89E38D76F791}"/>
                </a:ext>
              </a:extLst>
            </xdr:cNvPr>
            <xdr:cNvGraphicFramePr/>
          </xdr:nvGraphicFramePr>
          <xdr:xfrm>
            <a:off x="0" y="0"/>
            <a:ext cx="0" cy="0"/>
          </xdr:xfrm>
          <a:graphic>
            <a:graphicData uri="http://schemas.microsoft.com/office/drawing/2010/slicer">
              <sle:slicer xmlns:sle="http://schemas.microsoft.com/office/drawing/2010/slicer" name="Punto_Muestreo"/>
            </a:graphicData>
          </a:graphic>
        </xdr:graphicFrame>
      </mc:Choice>
      <mc:Fallback xmlns="">
        <xdr:sp macro="" textlink="">
          <xdr:nvSpPr>
            <xdr:cNvPr id="0" name=""/>
            <xdr:cNvSpPr>
              <a:spLocks noTextEdit="1"/>
            </xdr:cNvSpPr>
          </xdr:nvSpPr>
          <xdr:spPr>
            <a:xfrm>
              <a:off x="23568225" y="1204555"/>
              <a:ext cx="1831473" cy="2413703"/>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1006029</xdr:colOff>
      <xdr:row>5</xdr:row>
      <xdr:rowOff>38101</xdr:rowOff>
    </xdr:from>
    <xdr:to>
      <xdr:col>13</xdr:col>
      <xdr:colOff>1026584</xdr:colOff>
      <xdr:row>8</xdr:row>
      <xdr:rowOff>330200</xdr:rowOff>
    </xdr:to>
    <mc:AlternateContent xmlns:mc="http://schemas.openxmlformats.org/markup-compatibility/2006">
      <mc:Choice xmlns:a14="http://schemas.microsoft.com/office/drawing/2010/main" Requires="a14">
        <xdr:graphicFrame macro="">
          <xdr:nvGraphicFramePr>
            <xdr:cNvPr id="3" name="Nivel_Riesgo">
              <a:extLst>
                <a:ext uri="{FF2B5EF4-FFF2-40B4-BE49-F238E27FC236}">
                  <a16:creationId xmlns:a16="http://schemas.microsoft.com/office/drawing/2014/main" id="{6EF39686-2772-04BB-95F4-2E7B27546A66}"/>
                </a:ext>
              </a:extLst>
            </xdr:cNvPr>
            <xdr:cNvGraphicFramePr/>
          </xdr:nvGraphicFramePr>
          <xdr:xfrm>
            <a:off x="0" y="0"/>
            <a:ext cx="0" cy="0"/>
          </xdr:xfrm>
          <a:graphic>
            <a:graphicData uri="http://schemas.microsoft.com/office/drawing/2010/slicer">
              <sle:slicer xmlns:sle="http://schemas.microsoft.com/office/drawing/2010/slicer" name="Nivel_Riesgo"/>
            </a:graphicData>
          </a:graphic>
        </xdr:graphicFrame>
      </mc:Choice>
      <mc:Fallback>
        <xdr:sp macro="" textlink="">
          <xdr:nvSpPr>
            <xdr:cNvPr id="0" name=""/>
            <xdr:cNvSpPr>
              <a:spLocks noTextEdit="1"/>
            </xdr:cNvSpPr>
          </xdr:nvSpPr>
          <xdr:spPr>
            <a:xfrm>
              <a:off x="20691029" y="1223434"/>
              <a:ext cx="2793388" cy="1107016"/>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1854198</xdr:colOff>
      <xdr:row>5</xdr:row>
      <xdr:rowOff>11912</xdr:rowOff>
    </xdr:from>
    <xdr:to>
      <xdr:col>11</xdr:col>
      <xdr:colOff>867834</xdr:colOff>
      <xdr:row>8</xdr:row>
      <xdr:rowOff>649815</xdr:rowOff>
    </xdr:to>
    <mc:AlternateContent xmlns:mc="http://schemas.openxmlformats.org/markup-compatibility/2006">
      <mc:Choice xmlns:tsle="http://schemas.microsoft.com/office/drawing/2012/timeslicer" Requires="tsle">
        <xdr:graphicFrame macro="">
          <xdr:nvGraphicFramePr>
            <xdr:cNvPr id="4" name="Fecha">
              <a:extLst>
                <a:ext uri="{FF2B5EF4-FFF2-40B4-BE49-F238E27FC236}">
                  <a16:creationId xmlns:a16="http://schemas.microsoft.com/office/drawing/2014/main" id="{476E2E3A-DEAE-0867-FAA9-8603901C107B}"/>
                </a:ext>
              </a:extLst>
            </xdr:cNvPr>
            <xdr:cNvGraphicFramePr/>
          </xdr:nvGraphicFramePr>
          <xdr:xfrm>
            <a:off x="0" y="0"/>
            <a:ext cx="0" cy="0"/>
          </xdr:xfrm>
          <a:graphic>
            <a:graphicData uri="http://schemas.microsoft.com/office/drawing/2012/timeslicer">
              <tsle:timeslicer xmlns:tsle="http://schemas.microsoft.com/office/drawing/2012/timeslicer" name="Fecha"/>
            </a:graphicData>
          </a:graphic>
        </xdr:graphicFrame>
      </mc:Choice>
      <mc:Fallback>
        <xdr:sp macro="" textlink="">
          <xdr:nvSpPr>
            <xdr:cNvPr id="0" name=""/>
            <xdr:cNvSpPr>
              <a:spLocks noTextEdit="1"/>
            </xdr:cNvSpPr>
          </xdr:nvSpPr>
          <xdr:spPr>
            <a:xfrm>
              <a:off x="16776698" y="1197245"/>
              <a:ext cx="3776136" cy="1452820"/>
            </a:xfrm>
            <a:prstGeom prst="rect">
              <a:avLst/>
            </a:prstGeom>
            <a:solidFill>
              <a:prstClr val="white"/>
            </a:solidFill>
            <a:ln w="1">
              <a:solidFill>
                <a:prstClr val="green"/>
              </a:solidFill>
            </a:ln>
          </xdr:spPr>
          <xdr:txBody>
            <a:bodyPr vertOverflow="clip" horzOverflow="clip"/>
            <a:lstStyle/>
            <a:p>
              <a:r>
                <a:rPr lang="es-CO" sz="1100"/>
                <a:t>Timeline: Works in Excel 2013 or higher. Do not move or resize.</a:t>
              </a:r>
            </a:p>
          </xdr:txBody>
        </xdr:sp>
      </mc:Fallback>
    </mc:AlternateContent>
    <xdr:clientData/>
  </xdr:twoCellAnchor>
  <xdr:twoCellAnchor>
    <xdr:from>
      <xdr:col>0</xdr:col>
      <xdr:colOff>0</xdr:colOff>
      <xdr:row>8</xdr:row>
      <xdr:rowOff>739140</xdr:rowOff>
    </xdr:from>
    <xdr:to>
      <xdr:col>3</xdr:col>
      <xdr:colOff>1282700</xdr:colOff>
      <xdr:row>26</xdr:row>
      <xdr:rowOff>63500</xdr:rowOff>
    </xdr:to>
    <xdr:graphicFrame macro="">
      <xdr:nvGraphicFramePr>
        <xdr:cNvPr id="7" name="Chart 6" descr="Chart type: Clustered Bar. 'Turbidez_NTU' by 'Nivel_Riesgo'&#10;&#10;Description automatically generated">
          <a:extLst>
            <a:ext uri="{FF2B5EF4-FFF2-40B4-BE49-F238E27FC236}">
              <a16:creationId xmlns:a16="http://schemas.microsoft.com/office/drawing/2014/main" id="{B37ED0B2-5941-45BC-8548-91CDA0AF7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356781</xdr:colOff>
      <xdr:row>8</xdr:row>
      <xdr:rowOff>774699</xdr:rowOff>
    </xdr:from>
    <xdr:to>
      <xdr:col>9</xdr:col>
      <xdr:colOff>3390900</xdr:colOff>
      <xdr:row>25</xdr:row>
      <xdr:rowOff>110338</xdr:rowOff>
    </xdr:to>
    <xdr:graphicFrame macro="">
      <xdr:nvGraphicFramePr>
        <xdr:cNvPr id="8" name="Chart 7" descr="Chart type: Line. 'pH', 'Turbidez_NTU' by 'Fecha'&#10;&#10;Description automatically generated">
          <a:extLst>
            <a:ext uri="{FF2B5EF4-FFF2-40B4-BE49-F238E27FC236}">
              <a16:creationId xmlns:a16="http://schemas.microsoft.com/office/drawing/2014/main" id="{A776AC43-F65F-4A6A-9A6A-33CC771CF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69271</xdr:colOff>
      <xdr:row>27</xdr:row>
      <xdr:rowOff>161638</xdr:rowOff>
    </xdr:from>
    <xdr:to>
      <xdr:col>3</xdr:col>
      <xdr:colOff>1237671</xdr:colOff>
      <xdr:row>47</xdr:row>
      <xdr:rowOff>106761</xdr:rowOff>
    </xdr:to>
    <xdr:graphicFrame macro="">
      <xdr:nvGraphicFramePr>
        <xdr:cNvPr id="9" name="Chart 8" descr="Chart type: Line. For 'Cumple_Cloruros: Out', 'Dureza_mgL_CaCO3' has an outlier at 'Fecha': 28/01/2025.&#10;&#10;Description automatically generated">
          <a:extLst>
            <a:ext uri="{FF2B5EF4-FFF2-40B4-BE49-F238E27FC236}">
              <a16:creationId xmlns:a16="http://schemas.microsoft.com/office/drawing/2014/main" id="{9C16297A-B68C-4D0E-B23F-2B301C441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1598084</xdr:colOff>
      <xdr:row>30</xdr:row>
      <xdr:rowOff>211666</xdr:rowOff>
    </xdr:from>
    <xdr:to>
      <xdr:col>14</xdr:col>
      <xdr:colOff>338666</xdr:colOff>
      <xdr:row>42</xdr:row>
      <xdr:rowOff>42333</xdr:rowOff>
    </xdr:to>
    <xdr:sp macro="" textlink="">
      <xdr:nvSpPr>
        <xdr:cNvPr id="10" name="TextBox 9">
          <a:extLst>
            <a:ext uri="{FF2B5EF4-FFF2-40B4-BE49-F238E27FC236}">
              <a16:creationId xmlns:a16="http://schemas.microsoft.com/office/drawing/2014/main" id="{F6E9A51C-DB55-9A48-9D4F-C29F10F7F0BC}"/>
            </a:ext>
          </a:extLst>
        </xdr:cNvPr>
        <xdr:cNvSpPr txBox="1"/>
      </xdr:nvSpPr>
      <xdr:spPr>
        <a:xfrm>
          <a:off x="14340417" y="7471833"/>
          <a:ext cx="11038416" cy="300566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800"/>
            <a:t>CONCLUSIONES</a:t>
          </a:r>
        </a:p>
        <a:p>
          <a:r>
            <a:rPr lang="es-CO" sz="1800"/>
            <a:t>Este tipo de dashboard permite que un operador o entidad ambiental tome decisiones rápidas, identifique zonas críticas y haga seguimiento continuo al cumplimiento normativo.</a:t>
          </a:r>
        </a:p>
        <a:p>
          <a:endParaRPr lang="es-CO" sz="1800"/>
        </a:p>
        <a:p>
          <a:r>
            <a:rPr lang="es-CO" sz="1800"/>
            <a:t>Además, mediante la herramienta “Analizar datos”, la IA detectó un valor atípico en la dureza el 28 de enero de 2025, asociado a muestras con cloruros fuera de norma.</a:t>
          </a:r>
        </a:p>
        <a:p>
          <a:r>
            <a:rPr lang="es-CO" sz="1800"/>
            <a:t>Esto demuestra cómo la IA puede identificar patrones que podrían pasar desapercibidos en un análisis manual.</a:t>
          </a:r>
        </a:p>
        <a:p>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18</xdr:row>
      <xdr:rowOff>0</xdr:rowOff>
    </xdr:to>
    <xdr:graphicFrame macro="">
      <xdr:nvGraphicFramePr>
        <xdr:cNvPr id="2" name="Chart 1" descr="Chart type: Line. For 'Cumple_Cloruros: Out', 'Dureza_mgL_CaCO3' has an outlier at 'Fecha': 28/01/2025.&#10;&#10;Description automatically generated">
          <a:extLst>
            <a:ext uri="{FF2B5EF4-FFF2-40B4-BE49-F238E27FC236}">
              <a16:creationId xmlns:a16="http://schemas.microsoft.com/office/drawing/2014/main" id="{D9939C91-39ED-BF7C-DC09-187E7BA4DA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a" refreshedDate="46078.62912164352" createdVersion="8" refreshedVersion="8" minRefreshableVersion="3" recordCount="121" xr:uid="{8A5E6201-F52E-4446-A38F-DA15A7CF110A}">
  <cacheSource type="worksheet">
    <worksheetSource name="Table1__2"/>
  </cacheSource>
  <cacheFields count="18">
    <cacheField name="Fecha" numFmtId="14">
      <sharedItems containsNonDate="0" containsDate="1" containsString="0" containsBlank="1" minDate="2025-01-01T00:00:00" maxDate="2025-05-01T00:00:00" count="12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m/>
      </sharedItems>
      <fieldGroup par="17"/>
    </cacheField>
    <cacheField name="Punto_Muestreo" numFmtId="0">
      <sharedItems containsBlank="1" count="7">
        <s v="PTAR Sur"/>
        <s v="Pozo 2"/>
        <s v="Rio B"/>
        <s v="PTAR Norte"/>
        <s v="Rio A"/>
        <s v="Pozo 1"/>
        <m/>
      </sharedItems>
    </cacheField>
    <cacheField name="pH" numFmtId="0">
      <sharedItems containsString="0" containsBlank="1" containsNumber="1" minValue="6.01" maxValue="8.7799999999999994"/>
    </cacheField>
    <cacheField name="Turbidez_NTU" numFmtId="0">
      <sharedItems containsString="0" containsBlank="1" containsNumber="1" minValue="0.5" maxValue="11.93"/>
    </cacheField>
    <cacheField name="Dureza_mgL_CaCO3" numFmtId="0">
      <sharedItems containsString="0" containsBlank="1" containsNumber="1" minValue="81.099999999999994" maxValue="319"/>
    </cacheField>
    <cacheField name="Cloruros_mgL" numFmtId="0">
      <sharedItems containsString="0" containsBlank="1" containsNumber="1" minValue="14.9" maxValue="276.5"/>
    </cacheField>
    <cacheField name="Conductividad_uScm" numFmtId="0">
      <sharedItems containsString="0" containsBlank="1" containsNumber="1" minValue="152.5" maxValue="1192.0999999999999"/>
    </cacheField>
    <cacheField name="Cumple_Norma" numFmtId="0">
      <sharedItems containsBlank="1"/>
    </cacheField>
    <cacheField name="Validacion_pH" numFmtId="0">
      <sharedItems containsBlank="1"/>
    </cacheField>
    <cacheField name="pH_Min" numFmtId="0">
      <sharedItems containsSemiMixedTypes="0" containsString="0" containsNumber="1" minValue="6.5" maxValue="6.5"/>
    </cacheField>
    <cacheField name="pH_Max" numFmtId="0">
      <sharedItems containsSemiMixedTypes="0" containsString="0" containsNumber="1" minValue="8.5" maxValue="8.5"/>
    </cacheField>
    <cacheField name="Cumple_pH" numFmtId="0">
      <sharedItems/>
    </cacheField>
    <cacheField name="Cumple_Turbidez" numFmtId="0">
      <sharedItems/>
    </cacheField>
    <cacheField name="Cumple_Cloruros" numFmtId="0">
      <sharedItems count="2">
        <s v="Out"/>
        <s v="OK"/>
      </sharedItems>
    </cacheField>
    <cacheField name="Estado_Agua" numFmtId="0">
      <sharedItems/>
    </cacheField>
    <cacheField name="Nivel_Riesgo" numFmtId="0">
      <sharedItems count="2">
        <s v="Medium Risk"/>
        <s v="Critical"/>
      </sharedItems>
    </cacheField>
    <cacheField name="Months (Fecha)" numFmtId="0" databaseField="0">
      <fieldGroup base="0">
        <rangePr groupBy="months" startDate="2025-01-01T00:00:00" endDate="2025-05-01T00:00:00"/>
        <groupItems count="14">
          <s v="&lt;1/01/2025"/>
          <s v="ene"/>
          <s v="feb"/>
          <s v="mar"/>
          <s v="abr"/>
          <s v="may"/>
          <s v="jun"/>
          <s v="jul"/>
          <s v="ago"/>
          <s v="sep"/>
          <s v="oct"/>
          <s v="nov"/>
          <s v="dic"/>
          <s v="&gt;1/05/2025"/>
        </groupItems>
      </fieldGroup>
    </cacheField>
    <cacheField name="Years (Fecha)" numFmtId="0" databaseField="0">
      <fieldGroup base="0">
        <rangePr groupBy="years" startDate="2025-01-01T00:00:00" endDate="2025-05-01T00:00:00"/>
        <groupItems count="3">
          <s v="&lt;1/01/2025"/>
          <s v="2025"/>
          <s v="&gt;1/05/2025"/>
        </groupItems>
      </fieldGroup>
    </cacheField>
  </cacheFields>
  <extLst>
    <ext xmlns:x14="http://schemas.microsoft.com/office/spreadsheetml/2009/9/main" uri="{725AE2AE-9491-48be-B2B4-4EB974FC3084}">
      <x14:pivotCacheDefinition pivotCacheId="1310489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x v="0"/>
    <x v="0"/>
    <n v="8.39"/>
    <n v="4.91"/>
    <n v="126.5"/>
    <n v="276.5"/>
    <n v="245.4"/>
    <s v="NO"/>
    <s v="OK"/>
    <n v="6.5"/>
    <n v="8.5"/>
    <s v="OK"/>
    <s v="OK"/>
    <x v="0"/>
    <s v="NON-COMPLIANT"/>
    <x v="0"/>
  </r>
  <r>
    <x v="1"/>
    <x v="1"/>
    <n v="8.01"/>
    <n v="2.1"/>
    <n v="163"/>
    <n v="26.3"/>
    <n v="1037.3"/>
    <s v="SI"/>
    <s v="OK"/>
    <n v="6.5"/>
    <n v="8.5"/>
    <s v="OK"/>
    <s v="OK"/>
    <x v="0"/>
    <s v="NON-COMPLIANT"/>
    <x v="0"/>
  </r>
  <r>
    <x v="2"/>
    <x v="0"/>
    <n v="8.4"/>
    <n v="5.76"/>
    <n v="120.8"/>
    <n v="116"/>
    <n v="968.2"/>
    <s v="NO"/>
    <s v="OK"/>
    <n v="6.5"/>
    <n v="8.5"/>
    <s v="OK"/>
    <s v="Out"/>
    <x v="1"/>
    <s v="NON-COMPLIANT"/>
    <x v="0"/>
  </r>
  <r>
    <x v="3"/>
    <x v="2"/>
    <n v="7.26"/>
    <n v="11.08"/>
    <n v="223.5"/>
    <n v="177.4"/>
    <n v="895.7"/>
    <s v="NO"/>
    <s v="OK"/>
    <n v="6.5"/>
    <n v="8.5"/>
    <s v="OK"/>
    <s v="Out"/>
    <x v="1"/>
    <s v="NON-COMPLIANT"/>
    <x v="1"/>
  </r>
  <r>
    <x v="4"/>
    <x v="3"/>
    <n v="8.76"/>
    <n v="4.49"/>
    <n v="162.19999999999999"/>
    <n v="159"/>
    <n v="326.8"/>
    <s v="NO"/>
    <s v="OK"/>
    <n v="6.5"/>
    <n v="8.5"/>
    <s v="Out"/>
    <s v="OK"/>
    <x v="1"/>
    <s v="NON-COMPLIANT"/>
    <x v="0"/>
  </r>
  <r>
    <x v="5"/>
    <x v="3"/>
    <n v="6.01"/>
    <n v="8.68"/>
    <n v="169.1"/>
    <n v="196.5"/>
    <n v="752.3"/>
    <s v="NO"/>
    <s v="OK"/>
    <n v="6.5"/>
    <n v="8.5"/>
    <s v="Out"/>
    <s v="Out"/>
    <x v="1"/>
    <s v="NON-COMPLIANT"/>
    <x v="0"/>
  </r>
  <r>
    <x v="6"/>
    <x v="3"/>
    <n v="8.06"/>
    <n v="5.52"/>
    <n v="109"/>
    <n v="231.4"/>
    <n v="537.6"/>
    <s v="NO"/>
    <s v="OK"/>
    <n v="6.5"/>
    <n v="8.5"/>
    <s v="OK"/>
    <s v="Out"/>
    <x v="1"/>
    <s v="NON-COMPLIANT"/>
    <x v="0"/>
  </r>
  <r>
    <x v="7"/>
    <x v="4"/>
    <n v="8.4700000000000006"/>
    <n v="2.67"/>
    <n v="85.6"/>
    <n v="15.8"/>
    <n v="516.20000000000005"/>
    <s v="SI"/>
    <s v="OK"/>
    <n v="6.5"/>
    <n v="8.5"/>
    <s v="OK"/>
    <s v="OK"/>
    <x v="1"/>
    <s v="COMPLIES"/>
    <x v="0"/>
  </r>
  <r>
    <x v="8"/>
    <x v="4"/>
    <n v="6.9"/>
    <n v="8.41"/>
    <n v="161.1"/>
    <n v="123.7"/>
    <n v="1025"/>
    <s v="NO"/>
    <s v="OK"/>
    <n v="6.5"/>
    <n v="8.5"/>
    <s v="OK"/>
    <s v="Out"/>
    <x v="1"/>
    <s v="NON-COMPLIANT"/>
    <x v="0"/>
  </r>
  <r>
    <x v="9"/>
    <x v="1"/>
    <n v="8.4499999999999993"/>
    <n v="2.64"/>
    <n v="240.4"/>
    <n v="235.9"/>
    <n v="189.4"/>
    <s v="SI"/>
    <s v="OK"/>
    <n v="6.5"/>
    <n v="8.5"/>
    <s v="OK"/>
    <s v="OK"/>
    <x v="1"/>
    <s v="COMPLIES"/>
    <x v="0"/>
  </r>
  <r>
    <x v="10"/>
    <x v="2"/>
    <n v="7.32"/>
    <n v="7.93"/>
    <n v="219.2"/>
    <n v="185.5"/>
    <n v="377.5"/>
    <s v="NO"/>
    <s v="OK"/>
    <n v="6.5"/>
    <n v="8.5"/>
    <s v="OK"/>
    <s v="Out"/>
    <x v="1"/>
    <s v="NON-COMPLIANT"/>
    <x v="0"/>
  </r>
  <r>
    <x v="11"/>
    <x v="3"/>
    <n v="8.3699999999999992"/>
    <n v="0.74"/>
    <n v="213.5"/>
    <n v="209.3"/>
    <n v="1108.9000000000001"/>
    <s v="SI"/>
    <s v="OK"/>
    <n v="6.5"/>
    <n v="8.5"/>
    <s v="OK"/>
    <s v="OK"/>
    <x v="1"/>
    <s v="COMPLIES"/>
    <x v="0"/>
  </r>
  <r>
    <x v="12"/>
    <x v="5"/>
    <n v="6.2"/>
    <n v="3.23"/>
    <n v="277.39999999999998"/>
    <n v="32.9"/>
    <n v="884"/>
    <s v="NO"/>
    <s v="OK"/>
    <n v="6.5"/>
    <n v="8.5"/>
    <s v="Out"/>
    <s v="OK"/>
    <x v="1"/>
    <s v="NON-COMPLIANT"/>
    <x v="0"/>
  </r>
  <r>
    <x v="13"/>
    <x v="5"/>
    <n v="7.19"/>
    <n v="8"/>
    <n v="229.2"/>
    <n v="150.1"/>
    <n v="909"/>
    <s v="NO"/>
    <s v="OK"/>
    <n v="6.5"/>
    <n v="8.5"/>
    <s v="OK"/>
    <s v="Out"/>
    <x v="1"/>
    <s v="NON-COMPLIANT"/>
    <x v="0"/>
  </r>
  <r>
    <x v="14"/>
    <x v="1"/>
    <n v="6.98"/>
    <n v="10.28"/>
    <n v="221.2"/>
    <n v="142.30000000000001"/>
    <n v="523.79999999999995"/>
    <s v="NO"/>
    <s v="OK"/>
    <n v="6.5"/>
    <n v="8.5"/>
    <s v="OK"/>
    <s v="Out"/>
    <x v="1"/>
    <s v="NON-COMPLIANT"/>
    <x v="1"/>
  </r>
  <r>
    <x v="15"/>
    <x v="1"/>
    <n v="8.2799999999999994"/>
    <n v="1.94"/>
    <n v="117.9"/>
    <n v="203.9"/>
    <n v="913.9"/>
    <s v="SI"/>
    <s v="OK"/>
    <n v="6.5"/>
    <n v="8.5"/>
    <s v="OK"/>
    <s v="OK"/>
    <x v="1"/>
    <s v="COMPLIES"/>
    <x v="0"/>
  </r>
  <r>
    <x v="16"/>
    <x v="5"/>
    <n v="7.91"/>
    <n v="7.38"/>
    <n v="164.9"/>
    <n v="138.4"/>
    <n v="214"/>
    <s v="NO"/>
    <s v="OK"/>
    <n v="6.5"/>
    <n v="8.5"/>
    <s v="OK"/>
    <s v="Out"/>
    <x v="1"/>
    <s v="NON-COMPLIANT"/>
    <x v="0"/>
  </r>
  <r>
    <x v="17"/>
    <x v="1"/>
    <n v="6.84"/>
    <n v="10.98"/>
    <n v="87"/>
    <n v="24.6"/>
    <n v="679.5"/>
    <s v="NO"/>
    <s v="OK"/>
    <n v="6.5"/>
    <n v="8.5"/>
    <s v="OK"/>
    <s v="Out"/>
    <x v="1"/>
    <s v="NON-COMPLIANT"/>
    <x v="1"/>
  </r>
  <r>
    <x v="18"/>
    <x v="4"/>
    <n v="6.55"/>
    <n v="7.86"/>
    <n v="99.2"/>
    <n v="64.8"/>
    <n v="229.7"/>
    <s v="NO"/>
    <s v="OK"/>
    <n v="6.5"/>
    <n v="8.5"/>
    <s v="OK"/>
    <s v="Out"/>
    <x v="1"/>
    <s v="NON-COMPLIANT"/>
    <x v="0"/>
  </r>
  <r>
    <x v="19"/>
    <x v="2"/>
    <n v="7.58"/>
    <n v="6.18"/>
    <n v="243"/>
    <n v="82.8"/>
    <n v="731.1"/>
    <s v="NO"/>
    <s v="OK"/>
    <n v="6.5"/>
    <n v="8.5"/>
    <s v="OK"/>
    <s v="Out"/>
    <x v="1"/>
    <s v="NON-COMPLIANT"/>
    <x v="0"/>
  </r>
  <r>
    <x v="20"/>
    <x v="4"/>
    <n v="8.57"/>
    <n v="9.94"/>
    <n v="150.9"/>
    <n v="258.5"/>
    <n v="374.1"/>
    <s v="NO"/>
    <s v="OK"/>
    <n v="6.5"/>
    <n v="8.5"/>
    <s v="Out"/>
    <s v="Out"/>
    <x v="1"/>
    <s v="NON-COMPLIANT"/>
    <x v="0"/>
  </r>
  <r>
    <x v="21"/>
    <x v="2"/>
    <n v="6.53"/>
    <n v="6.2"/>
    <n v="294.39999999999998"/>
    <n v="139.80000000000001"/>
    <n v="1049.7"/>
    <s v="NO"/>
    <s v="OK"/>
    <n v="6.5"/>
    <n v="8.5"/>
    <s v="OK"/>
    <s v="Out"/>
    <x v="0"/>
    <s v="NON-COMPLIANT"/>
    <x v="0"/>
  </r>
  <r>
    <x v="22"/>
    <x v="3"/>
    <n v="6.98"/>
    <n v="6.07"/>
    <n v="288.3"/>
    <n v="271.60000000000002"/>
    <n v="927.5"/>
    <s v="NO"/>
    <s v="OK"/>
    <n v="6.5"/>
    <n v="8.5"/>
    <s v="OK"/>
    <s v="Out"/>
    <x v="1"/>
    <s v="NON-COMPLIANT"/>
    <x v="0"/>
  </r>
  <r>
    <x v="23"/>
    <x v="5"/>
    <n v="6.91"/>
    <n v="2.12"/>
    <n v="271.89999999999998"/>
    <n v="231"/>
    <n v="457.2"/>
    <s v="SI"/>
    <s v="OK"/>
    <n v="6.5"/>
    <n v="8.5"/>
    <s v="OK"/>
    <s v="OK"/>
    <x v="0"/>
    <s v="NON-COMPLIANT"/>
    <x v="0"/>
  </r>
  <r>
    <x v="24"/>
    <x v="1"/>
    <n v="7.72"/>
    <n v="8.26"/>
    <n v="312.60000000000002"/>
    <n v="154.30000000000001"/>
    <n v="379.8"/>
    <s v="NO"/>
    <s v="OK"/>
    <n v="6.5"/>
    <n v="8.5"/>
    <s v="OK"/>
    <s v="Out"/>
    <x v="1"/>
    <s v="NON-COMPLIANT"/>
    <x v="0"/>
  </r>
  <r>
    <x v="25"/>
    <x v="5"/>
    <n v="7.24"/>
    <n v="4.58"/>
    <n v="110.5"/>
    <n v="252.3"/>
    <n v="547.9"/>
    <s v="NO"/>
    <s v="OK"/>
    <n v="6.5"/>
    <n v="8.5"/>
    <s v="OK"/>
    <s v="OK"/>
    <x v="1"/>
    <s v="COMPLIES"/>
    <x v="0"/>
  </r>
  <r>
    <x v="26"/>
    <x v="5"/>
    <n v="7.94"/>
    <n v="4.8499999999999996"/>
    <n v="192.3"/>
    <n v="254"/>
    <n v="188.3"/>
    <s v="NO"/>
    <s v="OK"/>
    <n v="6.5"/>
    <n v="8.5"/>
    <s v="OK"/>
    <s v="OK"/>
    <x v="0"/>
    <s v="NON-COMPLIANT"/>
    <x v="0"/>
  </r>
  <r>
    <x v="27"/>
    <x v="3"/>
    <n v="8.51"/>
    <n v="8.93"/>
    <n v="316.10000000000002"/>
    <n v="65.599999999999994"/>
    <n v="822.2"/>
    <s v="NO"/>
    <s v="OK"/>
    <n v="6.5"/>
    <n v="8.5"/>
    <s v="Out"/>
    <s v="Out"/>
    <x v="0"/>
    <s v="NON-COMPLIANT"/>
    <x v="0"/>
  </r>
  <r>
    <x v="28"/>
    <x v="4"/>
    <n v="6.04"/>
    <n v="9.11"/>
    <n v="302.10000000000002"/>
    <n v="200.8"/>
    <n v="153.69999999999999"/>
    <s v="NO"/>
    <s v="OK"/>
    <n v="6.5"/>
    <n v="8.5"/>
    <s v="Out"/>
    <s v="Out"/>
    <x v="1"/>
    <s v="NON-COMPLIANT"/>
    <x v="0"/>
  </r>
  <r>
    <x v="29"/>
    <x v="2"/>
    <n v="7.17"/>
    <n v="3.74"/>
    <n v="317.60000000000002"/>
    <n v="131.30000000000001"/>
    <n v="1115.3"/>
    <s v="SI"/>
    <s v="OK"/>
    <n v="6.5"/>
    <n v="8.5"/>
    <s v="OK"/>
    <s v="OK"/>
    <x v="1"/>
    <s v="COMPLIES"/>
    <x v="0"/>
  </r>
  <r>
    <x v="30"/>
    <x v="2"/>
    <n v="7.11"/>
    <n v="2.97"/>
    <n v="311.8"/>
    <n v="259.60000000000002"/>
    <n v="202.1"/>
    <s v="NO"/>
    <s v="OK"/>
    <n v="6.5"/>
    <n v="8.5"/>
    <s v="OK"/>
    <s v="OK"/>
    <x v="1"/>
    <s v="COMPLIES"/>
    <x v="0"/>
  </r>
  <r>
    <x v="31"/>
    <x v="1"/>
    <n v="8.61"/>
    <n v="3.75"/>
    <n v="81.099999999999994"/>
    <n v="52"/>
    <n v="770.1"/>
    <s v="NO"/>
    <s v="OK"/>
    <n v="6.5"/>
    <n v="8.5"/>
    <s v="Out"/>
    <s v="OK"/>
    <x v="0"/>
    <s v="NON-COMPLIANT"/>
    <x v="0"/>
  </r>
  <r>
    <x v="32"/>
    <x v="0"/>
    <n v="8.11"/>
    <n v="9.2200000000000006"/>
    <n v="319"/>
    <n v="112.3"/>
    <n v="267.60000000000002"/>
    <s v="NO"/>
    <s v="OK"/>
    <n v="6.5"/>
    <n v="8.5"/>
    <s v="OK"/>
    <s v="Out"/>
    <x v="1"/>
    <s v="NON-COMPLIANT"/>
    <x v="0"/>
  </r>
  <r>
    <x v="33"/>
    <x v="0"/>
    <n v="8.43"/>
    <n v="6.34"/>
    <n v="132.9"/>
    <n v="144.19999999999999"/>
    <n v="877"/>
    <s v="NO"/>
    <s v="OK"/>
    <n v="6.5"/>
    <n v="8.5"/>
    <s v="OK"/>
    <s v="Out"/>
    <x v="1"/>
    <s v="NON-COMPLIANT"/>
    <x v="0"/>
  </r>
  <r>
    <x v="34"/>
    <x v="1"/>
    <n v="7.96"/>
    <n v="4"/>
    <n v="316.39999999999998"/>
    <n v="97.5"/>
    <n v="513.70000000000005"/>
    <s v="SI"/>
    <s v="OK"/>
    <n v="6.5"/>
    <n v="8.5"/>
    <s v="OK"/>
    <s v="OK"/>
    <x v="1"/>
    <s v="COMPLIES"/>
    <x v="0"/>
  </r>
  <r>
    <x v="35"/>
    <x v="3"/>
    <n v="6.75"/>
    <n v="7.6"/>
    <n v="278.7"/>
    <n v="139.9"/>
    <n v="997.5"/>
    <s v="NO"/>
    <s v="OK"/>
    <n v="6.5"/>
    <n v="8.5"/>
    <s v="OK"/>
    <s v="Out"/>
    <x v="1"/>
    <s v="NON-COMPLIANT"/>
    <x v="0"/>
  </r>
  <r>
    <x v="36"/>
    <x v="0"/>
    <n v="6.06"/>
    <n v="8.8800000000000008"/>
    <n v="294.7"/>
    <n v="107.6"/>
    <n v="975.8"/>
    <s v="NO"/>
    <s v="OK"/>
    <n v="6.5"/>
    <n v="8.5"/>
    <s v="Out"/>
    <s v="Out"/>
    <x v="1"/>
    <s v="NON-COMPLIANT"/>
    <x v="0"/>
  </r>
  <r>
    <x v="37"/>
    <x v="5"/>
    <n v="7.64"/>
    <n v="3.66"/>
    <n v="167.4"/>
    <n v="156.5"/>
    <n v="552.1"/>
    <s v="SI"/>
    <s v="OK"/>
    <n v="6.5"/>
    <n v="8.5"/>
    <s v="OK"/>
    <s v="OK"/>
    <x v="1"/>
    <s v="COMPLIES"/>
    <x v="0"/>
  </r>
  <r>
    <x v="38"/>
    <x v="5"/>
    <n v="6.69"/>
    <n v="9.2200000000000006"/>
    <n v="264.2"/>
    <n v="14.9"/>
    <n v="981.1"/>
    <s v="NO"/>
    <s v="OK"/>
    <n v="6.5"/>
    <n v="8.5"/>
    <s v="OK"/>
    <s v="Out"/>
    <x v="1"/>
    <s v="NON-COMPLIANT"/>
    <x v="0"/>
  </r>
  <r>
    <x v="39"/>
    <x v="2"/>
    <n v="8.41"/>
    <n v="1.07"/>
    <n v="264.3"/>
    <n v="190.3"/>
    <n v="578.5"/>
    <s v="SI"/>
    <s v="OK"/>
    <n v="6.5"/>
    <n v="8.5"/>
    <s v="OK"/>
    <s v="OK"/>
    <x v="1"/>
    <s v="COMPLIES"/>
    <x v="0"/>
  </r>
  <r>
    <x v="40"/>
    <x v="0"/>
    <n v="7.06"/>
    <n v="1.1399999999999999"/>
    <n v="146.69999999999999"/>
    <n v="222.7"/>
    <n v="296.3"/>
    <s v="SI"/>
    <s v="OK"/>
    <n v="6.5"/>
    <n v="8.5"/>
    <s v="OK"/>
    <s v="OK"/>
    <x v="1"/>
    <s v="COMPLIES"/>
    <x v="0"/>
  </r>
  <r>
    <x v="41"/>
    <x v="4"/>
    <n v="7.96"/>
    <n v="6.04"/>
    <n v="278"/>
    <n v="95.4"/>
    <n v="535.1"/>
    <s v="NO"/>
    <s v="OK"/>
    <n v="6.5"/>
    <n v="8.5"/>
    <s v="OK"/>
    <s v="Out"/>
    <x v="1"/>
    <s v="NON-COMPLIANT"/>
    <x v="0"/>
  </r>
  <r>
    <x v="42"/>
    <x v="3"/>
    <n v="7.46"/>
    <n v="0.99"/>
    <n v="183.7"/>
    <n v="76.400000000000006"/>
    <n v="152.5"/>
    <s v="SI"/>
    <s v="OK"/>
    <n v="6.5"/>
    <n v="8.5"/>
    <s v="OK"/>
    <s v="OK"/>
    <x v="1"/>
    <s v="COMPLIES"/>
    <x v="0"/>
  </r>
  <r>
    <x v="43"/>
    <x v="4"/>
    <n v="8.7799999999999994"/>
    <n v="10.49"/>
    <n v="121.8"/>
    <n v="159.4"/>
    <n v="566.29999999999995"/>
    <s v="NO"/>
    <s v="OK"/>
    <n v="6.5"/>
    <n v="8.5"/>
    <s v="Out"/>
    <s v="Out"/>
    <x v="1"/>
    <s v="NON-COMPLIANT"/>
    <x v="1"/>
  </r>
  <r>
    <x v="44"/>
    <x v="2"/>
    <n v="7.11"/>
    <n v="5.45"/>
    <n v="195.1"/>
    <n v="71.8"/>
    <n v="207.9"/>
    <s v="NO"/>
    <s v="OK"/>
    <n v="6.5"/>
    <n v="8.5"/>
    <s v="OK"/>
    <s v="Out"/>
    <x v="1"/>
    <s v="NON-COMPLIANT"/>
    <x v="0"/>
  </r>
  <r>
    <x v="45"/>
    <x v="4"/>
    <n v="7.34"/>
    <n v="8.24"/>
    <n v="146.69999999999999"/>
    <n v="117.9"/>
    <n v="956.1"/>
    <s v="NO"/>
    <s v="OK"/>
    <n v="6.5"/>
    <n v="8.5"/>
    <s v="OK"/>
    <s v="Out"/>
    <x v="1"/>
    <s v="NON-COMPLIANT"/>
    <x v="0"/>
  </r>
  <r>
    <x v="46"/>
    <x v="1"/>
    <n v="6.34"/>
    <n v="7.97"/>
    <n v="261.10000000000002"/>
    <n v="33.299999999999997"/>
    <n v="1192.0999999999999"/>
    <s v="NO"/>
    <s v="OK"/>
    <n v="6.5"/>
    <n v="8.5"/>
    <s v="Out"/>
    <s v="Out"/>
    <x v="1"/>
    <s v="NON-COMPLIANT"/>
    <x v="0"/>
  </r>
  <r>
    <x v="47"/>
    <x v="5"/>
    <n v="7.85"/>
    <n v="0.89"/>
    <n v="175.3"/>
    <n v="193.7"/>
    <n v="803"/>
    <s v="SI"/>
    <s v="OK"/>
    <n v="6.5"/>
    <n v="8.5"/>
    <s v="OK"/>
    <s v="OK"/>
    <x v="1"/>
    <s v="COMPLIES"/>
    <x v="0"/>
  </r>
  <r>
    <x v="48"/>
    <x v="5"/>
    <n v="7.77"/>
    <n v="11.77"/>
    <n v="119.7"/>
    <n v="220.5"/>
    <n v="1083"/>
    <s v="NO"/>
    <s v="OK"/>
    <n v="6.5"/>
    <n v="8.5"/>
    <s v="OK"/>
    <s v="Out"/>
    <x v="1"/>
    <s v="NON-COMPLIANT"/>
    <x v="1"/>
  </r>
  <r>
    <x v="49"/>
    <x v="1"/>
    <n v="8.0299999999999994"/>
    <n v="4.6100000000000003"/>
    <n v="92.1"/>
    <n v="124.1"/>
    <n v="448.8"/>
    <s v="SI"/>
    <s v="OK"/>
    <n v="6.5"/>
    <n v="8.5"/>
    <s v="OK"/>
    <s v="OK"/>
    <x v="1"/>
    <s v="COMPLIES"/>
    <x v="0"/>
  </r>
  <r>
    <x v="50"/>
    <x v="5"/>
    <n v="7.85"/>
    <n v="8.98"/>
    <n v="129.80000000000001"/>
    <n v="182.9"/>
    <n v="550.20000000000005"/>
    <s v="NO"/>
    <s v="OK"/>
    <n v="6.5"/>
    <n v="8.5"/>
    <s v="OK"/>
    <s v="Out"/>
    <x v="1"/>
    <s v="NON-COMPLIANT"/>
    <x v="0"/>
  </r>
  <r>
    <x v="51"/>
    <x v="4"/>
    <n v="6.58"/>
    <n v="8.7100000000000009"/>
    <n v="248.5"/>
    <n v="263.3"/>
    <n v="297.10000000000002"/>
    <s v="NO"/>
    <s v="OK"/>
    <n v="6.5"/>
    <n v="8.5"/>
    <s v="OK"/>
    <s v="Out"/>
    <x v="1"/>
    <s v="NON-COMPLIANT"/>
    <x v="0"/>
  </r>
  <r>
    <x v="52"/>
    <x v="4"/>
    <n v="6.34"/>
    <n v="10.67"/>
    <n v="235.8"/>
    <n v="224.4"/>
    <n v="688.7"/>
    <s v="NO"/>
    <s v="OK"/>
    <n v="6.5"/>
    <n v="8.5"/>
    <s v="Out"/>
    <s v="Out"/>
    <x v="0"/>
    <s v="NON-COMPLIANT"/>
    <x v="1"/>
  </r>
  <r>
    <x v="53"/>
    <x v="2"/>
    <n v="6.17"/>
    <n v="0.72"/>
    <n v="115.1"/>
    <n v="139.80000000000001"/>
    <n v="1154.7"/>
    <s v="NO"/>
    <s v="OK"/>
    <n v="6.5"/>
    <n v="8.5"/>
    <s v="Out"/>
    <s v="OK"/>
    <x v="1"/>
    <s v="NON-COMPLIANT"/>
    <x v="0"/>
  </r>
  <r>
    <x v="54"/>
    <x v="0"/>
    <n v="6.81"/>
    <n v="3.78"/>
    <n v="97.3"/>
    <n v="86.4"/>
    <n v="609.29999999999995"/>
    <s v="SI"/>
    <s v="OK"/>
    <n v="6.5"/>
    <n v="8.5"/>
    <s v="OK"/>
    <s v="OK"/>
    <x v="1"/>
    <s v="COMPLIES"/>
    <x v="0"/>
  </r>
  <r>
    <x v="55"/>
    <x v="0"/>
    <n v="7.4"/>
    <n v="6.11"/>
    <n v="96.4"/>
    <n v="89.1"/>
    <n v="371.5"/>
    <s v="NO"/>
    <s v="OK"/>
    <n v="6.5"/>
    <n v="8.5"/>
    <s v="OK"/>
    <s v="Out"/>
    <x v="1"/>
    <s v="NON-COMPLIANT"/>
    <x v="0"/>
  </r>
  <r>
    <x v="56"/>
    <x v="0"/>
    <n v="8.11"/>
    <n v="9.5500000000000007"/>
    <n v="301.5"/>
    <n v="179.1"/>
    <n v="627.4"/>
    <s v="NO"/>
    <s v="OK"/>
    <n v="6.5"/>
    <n v="8.5"/>
    <s v="OK"/>
    <s v="Out"/>
    <x v="1"/>
    <s v="NON-COMPLIANT"/>
    <x v="0"/>
  </r>
  <r>
    <x v="57"/>
    <x v="3"/>
    <n v="7.08"/>
    <n v="6.24"/>
    <n v="91.9"/>
    <n v="173.6"/>
    <n v="202.9"/>
    <s v="NO"/>
    <s v="OK"/>
    <n v="6.5"/>
    <n v="8.5"/>
    <s v="OK"/>
    <s v="Out"/>
    <x v="1"/>
    <s v="NON-COMPLIANT"/>
    <x v="0"/>
  </r>
  <r>
    <x v="58"/>
    <x v="0"/>
    <n v="7.24"/>
    <n v="6.74"/>
    <n v="297.5"/>
    <n v="128.5"/>
    <n v="598.4"/>
    <s v="NO"/>
    <s v="OK"/>
    <n v="6.5"/>
    <n v="8.5"/>
    <s v="OK"/>
    <s v="Out"/>
    <x v="1"/>
    <s v="NON-COMPLIANT"/>
    <x v="0"/>
  </r>
  <r>
    <x v="59"/>
    <x v="0"/>
    <n v="6.66"/>
    <n v="1.27"/>
    <n v="122.1"/>
    <n v="163.30000000000001"/>
    <n v="665.1"/>
    <s v="SI"/>
    <s v="OK"/>
    <n v="6.5"/>
    <n v="8.5"/>
    <s v="OK"/>
    <s v="OK"/>
    <x v="1"/>
    <s v="COMPLIES"/>
    <x v="0"/>
  </r>
  <r>
    <x v="60"/>
    <x v="0"/>
    <n v="8.34"/>
    <n v="8.8800000000000008"/>
    <n v="117.6"/>
    <n v="169"/>
    <n v="724.8"/>
    <s v="NO"/>
    <s v="OK"/>
    <n v="6.5"/>
    <n v="8.5"/>
    <s v="OK"/>
    <s v="Out"/>
    <x v="1"/>
    <s v="NON-COMPLIANT"/>
    <x v="0"/>
  </r>
  <r>
    <x v="61"/>
    <x v="4"/>
    <n v="6.64"/>
    <n v="3.76"/>
    <n v="252.4"/>
    <n v="179"/>
    <n v="295.7"/>
    <s v="SI"/>
    <s v="OK"/>
    <n v="6.5"/>
    <n v="8.5"/>
    <s v="OK"/>
    <s v="OK"/>
    <x v="1"/>
    <s v="COMPLIES"/>
    <x v="0"/>
  </r>
  <r>
    <x v="62"/>
    <x v="0"/>
    <n v="7.31"/>
    <n v="6.46"/>
    <n v="156.69999999999999"/>
    <n v="133"/>
    <n v="1001.5"/>
    <s v="NO"/>
    <s v="OK"/>
    <n v="6.5"/>
    <n v="8.5"/>
    <s v="OK"/>
    <s v="Out"/>
    <x v="1"/>
    <s v="NON-COMPLIANT"/>
    <x v="0"/>
  </r>
  <r>
    <x v="63"/>
    <x v="5"/>
    <n v="8.3800000000000008"/>
    <n v="7.94"/>
    <n v="291.5"/>
    <n v="38.799999999999997"/>
    <n v="839.1"/>
    <s v="NO"/>
    <s v="OK"/>
    <n v="6.5"/>
    <n v="8.5"/>
    <s v="OK"/>
    <s v="Out"/>
    <x v="1"/>
    <s v="NON-COMPLIANT"/>
    <x v="0"/>
  </r>
  <r>
    <x v="64"/>
    <x v="4"/>
    <n v="7.88"/>
    <n v="2.92"/>
    <n v="218.3"/>
    <n v="201.8"/>
    <n v="924"/>
    <s v="SI"/>
    <s v="OK"/>
    <n v="6.5"/>
    <n v="8.5"/>
    <s v="OK"/>
    <s v="OK"/>
    <x v="1"/>
    <s v="COMPLIES"/>
    <x v="0"/>
  </r>
  <r>
    <x v="65"/>
    <x v="2"/>
    <n v="7.19"/>
    <n v="4.25"/>
    <n v="214.4"/>
    <n v="245.8"/>
    <n v="820.2"/>
    <s v="SI"/>
    <s v="OK"/>
    <n v="6.5"/>
    <n v="8.5"/>
    <s v="OK"/>
    <s v="OK"/>
    <x v="1"/>
    <s v="COMPLIES"/>
    <x v="0"/>
  </r>
  <r>
    <x v="66"/>
    <x v="0"/>
    <n v="7.71"/>
    <n v="3.61"/>
    <n v="266.89999999999998"/>
    <n v="16.100000000000001"/>
    <n v="734.1"/>
    <s v="SI"/>
    <s v="OK"/>
    <n v="6.5"/>
    <n v="8.5"/>
    <s v="OK"/>
    <s v="OK"/>
    <x v="1"/>
    <s v="COMPLIES"/>
    <x v="0"/>
  </r>
  <r>
    <x v="67"/>
    <x v="1"/>
    <n v="8.25"/>
    <n v="6.15"/>
    <n v="302.10000000000002"/>
    <n v="45.2"/>
    <n v="887.3"/>
    <s v="NO"/>
    <s v="OK"/>
    <n v="6.5"/>
    <n v="8.5"/>
    <s v="OK"/>
    <s v="Out"/>
    <x v="1"/>
    <s v="NON-COMPLIANT"/>
    <x v="0"/>
  </r>
  <r>
    <x v="68"/>
    <x v="5"/>
    <n v="8.34"/>
    <n v="5.89"/>
    <n v="147.4"/>
    <n v="193.5"/>
    <n v="885.3"/>
    <s v="NO"/>
    <s v="OK"/>
    <n v="6.5"/>
    <n v="8.5"/>
    <s v="OK"/>
    <s v="Out"/>
    <x v="1"/>
    <s v="NON-COMPLIANT"/>
    <x v="0"/>
  </r>
  <r>
    <x v="69"/>
    <x v="1"/>
    <n v="8.32"/>
    <n v="10.43"/>
    <n v="303.5"/>
    <n v="165"/>
    <n v="713.4"/>
    <s v="NO"/>
    <s v="OK"/>
    <n v="6.5"/>
    <n v="8.5"/>
    <s v="OK"/>
    <s v="Out"/>
    <x v="1"/>
    <s v="NON-COMPLIANT"/>
    <x v="1"/>
  </r>
  <r>
    <x v="70"/>
    <x v="0"/>
    <n v="6.44"/>
    <n v="7.92"/>
    <n v="160.80000000000001"/>
    <n v="159.69999999999999"/>
    <n v="1113.7"/>
    <s v="NO"/>
    <s v="OK"/>
    <n v="6.5"/>
    <n v="8.5"/>
    <s v="Out"/>
    <s v="Out"/>
    <x v="1"/>
    <s v="NON-COMPLIANT"/>
    <x v="0"/>
  </r>
  <r>
    <x v="71"/>
    <x v="0"/>
    <n v="6.98"/>
    <n v="6.5"/>
    <n v="129.19999999999999"/>
    <n v="220.7"/>
    <n v="627.4"/>
    <s v="NO"/>
    <s v="OK"/>
    <n v="6.5"/>
    <n v="8.5"/>
    <s v="OK"/>
    <s v="Out"/>
    <x v="1"/>
    <s v="NON-COMPLIANT"/>
    <x v="0"/>
  </r>
  <r>
    <x v="72"/>
    <x v="4"/>
    <n v="8.4700000000000006"/>
    <n v="9.59"/>
    <n v="318.10000000000002"/>
    <n v="221.1"/>
    <n v="491.8"/>
    <s v="NO"/>
    <s v="OK"/>
    <n v="6.5"/>
    <n v="8.5"/>
    <s v="OK"/>
    <s v="Out"/>
    <x v="1"/>
    <s v="NON-COMPLIANT"/>
    <x v="0"/>
  </r>
  <r>
    <x v="73"/>
    <x v="3"/>
    <n v="6.61"/>
    <n v="11.93"/>
    <n v="180.4"/>
    <n v="34"/>
    <n v="391.3"/>
    <s v="NO"/>
    <s v="OK"/>
    <n v="6.5"/>
    <n v="8.5"/>
    <s v="OK"/>
    <s v="Out"/>
    <x v="1"/>
    <s v="NON-COMPLIANT"/>
    <x v="1"/>
  </r>
  <r>
    <x v="74"/>
    <x v="1"/>
    <n v="7.73"/>
    <n v="5.84"/>
    <n v="277.5"/>
    <n v="78.7"/>
    <n v="675"/>
    <s v="NO"/>
    <s v="OK"/>
    <n v="6.5"/>
    <n v="8.5"/>
    <s v="OK"/>
    <s v="Out"/>
    <x v="1"/>
    <s v="NON-COMPLIANT"/>
    <x v="0"/>
  </r>
  <r>
    <x v="75"/>
    <x v="1"/>
    <n v="8.18"/>
    <n v="0.5"/>
    <n v="294.89999999999998"/>
    <n v="105.2"/>
    <n v="826.8"/>
    <s v="SI"/>
    <s v="OK"/>
    <n v="6.5"/>
    <n v="8.5"/>
    <s v="OK"/>
    <s v="OK"/>
    <x v="1"/>
    <s v="COMPLIES"/>
    <x v="0"/>
  </r>
  <r>
    <x v="76"/>
    <x v="4"/>
    <n v="7.76"/>
    <n v="10.94"/>
    <n v="96.8"/>
    <n v="180.3"/>
    <n v="202.5"/>
    <s v="NO"/>
    <s v="OK"/>
    <n v="6.5"/>
    <n v="8.5"/>
    <s v="OK"/>
    <s v="Out"/>
    <x v="1"/>
    <s v="NON-COMPLIANT"/>
    <x v="1"/>
  </r>
  <r>
    <x v="77"/>
    <x v="4"/>
    <n v="7.74"/>
    <n v="6.61"/>
    <n v="279.89999999999998"/>
    <n v="195.9"/>
    <n v="912.7"/>
    <s v="NO"/>
    <s v="OK"/>
    <n v="6.5"/>
    <n v="8.5"/>
    <s v="OK"/>
    <s v="Out"/>
    <x v="1"/>
    <s v="NON-COMPLIANT"/>
    <x v="0"/>
  </r>
  <r>
    <x v="78"/>
    <x v="4"/>
    <n v="8.08"/>
    <n v="5.53"/>
    <n v="116.6"/>
    <n v="27.5"/>
    <n v="892.1"/>
    <s v="NO"/>
    <s v="OK"/>
    <n v="6.5"/>
    <n v="8.5"/>
    <s v="OK"/>
    <s v="Out"/>
    <x v="1"/>
    <s v="NON-COMPLIANT"/>
    <x v="0"/>
  </r>
  <r>
    <x v="79"/>
    <x v="1"/>
    <n v="7.08"/>
    <n v="2.64"/>
    <n v="81.3"/>
    <n v="33.200000000000003"/>
    <n v="843.4"/>
    <s v="SI"/>
    <s v="OK"/>
    <n v="6.5"/>
    <n v="8.5"/>
    <s v="OK"/>
    <s v="OK"/>
    <x v="1"/>
    <s v="COMPLIES"/>
    <x v="0"/>
  </r>
  <r>
    <x v="80"/>
    <x v="1"/>
    <n v="7.37"/>
    <n v="10.33"/>
    <n v="167.2"/>
    <n v="44.6"/>
    <n v="248.1"/>
    <s v="NO"/>
    <s v="OK"/>
    <n v="6.5"/>
    <n v="8.5"/>
    <s v="OK"/>
    <s v="Out"/>
    <x v="1"/>
    <s v="NON-COMPLIANT"/>
    <x v="1"/>
  </r>
  <r>
    <x v="81"/>
    <x v="2"/>
    <n v="6.39"/>
    <n v="11.71"/>
    <n v="168.2"/>
    <n v="172.5"/>
    <n v="1091"/>
    <s v="NO"/>
    <s v="OK"/>
    <n v="6.5"/>
    <n v="8.5"/>
    <s v="Out"/>
    <s v="Out"/>
    <x v="1"/>
    <s v="NON-COMPLIANT"/>
    <x v="1"/>
  </r>
  <r>
    <x v="82"/>
    <x v="5"/>
    <n v="7.34"/>
    <n v="5.08"/>
    <n v="151.30000000000001"/>
    <n v="155.6"/>
    <n v="1097.0999999999999"/>
    <s v="NO"/>
    <s v="OK"/>
    <n v="6.5"/>
    <n v="8.5"/>
    <s v="OK"/>
    <s v="Out"/>
    <x v="1"/>
    <s v="NON-COMPLIANT"/>
    <x v="0"/>
  </r>
  <r>
    <x v="83"/>
    <x v="0"/>
    <n v="7.56"/>
    <n v="2.76"/>
    <n v="117.4"/>
    <n v="53.5"/>
    <n v="287.39999999999998"/>
    <s v="SI"/>
    <s v="OK"/>
    <n v="6.5"/>
    <n v="8.5"/>
    <s v="OK"/>
    <s v="OK"/>
    <x v="1"/>
    <s v="COMPLIES"/>
    <x v="0"/>
  </r>
  <r>
    <x v="84"/>
    <x v="4"/>
    <n v="7.03"/>
    <n v="5.62"/>
    <n v="245.7"/>
    <n v="207.1"/>
    <n v="1008.5"/>
    <s v="NO"/>
    <s v="OK"/>
    <n v="6.5"/>
    <n v="8.5"/>
    <s v="OK"/>
    <s v="Out"/>
    <x v="1"/>
    <s v="NON-COMPLIANT"/>
    <x v="0"/>
  </r>
  <r>
    <x v="85"/>
    <x v="3"/>
    <n v="8.2100000000000009"/>
    <n v="0.9"/>
    <n v="101.9"/>
    <n v="180"/>
    <n v="662.3"/>
    <s v="SI"/>
    <s v="OK"/>
    <n v="6.5"/>
    <n v="8.5"/>
    <s v="OK"/>
    <s v="OK"/>
    <x v="1"/>
    <s v="COMPLIES"/>
    <x v="0"/>
  </r>
  <r>
    <x v="86"/>
    <x v="3"/>
    <n v="6.85"/>
    <n v="7.89"/>
    <n v="166.2"/>
    <n v="226.6"/>
    <n v="328"/>
    <s v="NO"/>
    <s v="OK"/>
    <n v="6.5"/>
    <n v="8.5"/>
    <s v="OK"/>
    <s v="Out"/>
    <x v="1"/>
    <s v="NON-COMPLIANT"/>
    <x v="0"/>
  </r>
  <r>
    <x v="87"/>
    <x v="4"/>
    <n v="7.03"/>
    <n v="1.17"/>
    <n v="110"/>
    <n v="207.7"/>
    <n v="723.6"/>
    <s v="SI"/>
    <s v="OK"/>
    <n v="6.5"/>
    <n v="8.5"/>
    <s v="OK"/>
    <s v="OK"/>
    <x v="1"/>
    <s v="COMPLIES"/>
    <x v="0"/>
  </r>
  <r>
    <x v="88"/>
    <x v="0"/>
    <n v="7.34"/>
    <n v="6.32"/>
    <n v="195.5"/>
    <n v="47.7"/>
    <n v="602.4"/>
    <s v="NO"/>
    <s v="OK"/>
    <n v="6.5"/>
    <n v="8.5"/>
    <s v="OK"/>
    <s v="Out"/>
    <x v="1"/>
    <s v="NON-COMPLIANT"/>
    <x v="0"/>
  </r>
  <r>
    <x v="89"/>
    <x v="1"/>
    <n v="6.89"/>
    <n v="6.85"/>
    <n v="216.3"/>
    <n v="21.5"/>
    <n v="952.2"/>
    <s v="NO"/>
    <s v="OK"/>
    <n v="6.5"/>
    <n v="8.5"/>
    <s v="OK"/>
    <s v="Out"/>
    <x v="1"/>
    <s v="NON-COMPLIANT"/>
    <x v="0"/>
  </r>
  <r>
    <x v="90"/>
    <x v="0"/>
    <n v="7.61"/>
    <n v="11.16"/>
    <n v="246.8"/>
    <n v="132.5"/>
    <n v="519.79999999999995"/>
    <s v="NO"/>
    <s v="OK"/>
    <n v="6.5"/>
    <n v="8.5"/>
    <s v="OK"/>
    <s v="Out"/>
    <x v="1"/>
    <s v="NON-COMPLIANT"/>
    <x v="1"/>
  </r>
  <r>
    <x v="91"/>
    <x v="3"/>
    <n v="7.68"/>
    <n v="10.74"/>
    <n v="225.7"/>
    <n v="191.2"/>
    <n v="215.2"/>
    <s v="NO"/>
    <s v="OK"/>
    <n v="6.5"/>
    <n v="8.5"/>
    <s v="OK"/>
    <s v="Out"/>
    <x v="1"/>
    <s v="NON-COMPLIANT"/>
    <x v="1"/>
  </r>
  <r>
    <x v="92"/>
    <x v="4"/>
    <n v="7.38"/>
    <n v="3.75"/>
    <n v="175.3"/>
    <n v="41.5"/>
    <n v="855"/>
    <s v="SI"/>
    <s v="OK"/>
    <n v="6.5"/>
    <n v="8.5"/>
    <s v="OK"/>
    <s v="OK"/>
    <x v="1"/>
    <s v="COMPLIES"/>
    <x v="0"/>
  </r>
  <r>
    <x v="93"/>
    <x v="4"/>
    <n v="8.0399999999999991"/>
    <n v="1.75"/>
    <n v="262.3"/>
    <n v="119.5"/>
    <n v="176.1"/>
    <s v="SI"/>
    <s v="OK"/>
    <n v="6.5"/>
    <n v="8.5"/>
    <s v="OK"/>
    <s v="OK"/>
    <x v="1"/>
    <s v="COMPLIES"/>
    <x v="0"/>
  </r>
  <r>
    <x v="94"/>
    <x v="3"/>
    <n v="8.43"/>
    <n v="6.61"/>
    <n v="256.5"/>
    <n v="249.1"/>
    <n v="1181.9000000000001"/>
    <s v="NO"/>
    <s v="OK"/>
    <n v="6.5"/>
    <n v="8.5"/>
    <s v="OK"/>
    <s v="Out"/>
    <x v="1"/>
    <s v="NON-COMPLIANT"/>
    <x v="0"/>
  </r>
  <r>
    <x v="95"/>
    <x v="2"/>
    <n v="7.3"/>
    <n v="4.01"/>
    <n v="124.7"/>
    <n v="156.19999999999999"/>
    <n v="871.8"/>
    <s v="SI"/>
    <s v="OK"/>
    <n v="6.5"/>
    <n v="8.5"/>
    <s v="OK"/>
    <s v="OK"/>
    <x v="1"/>
    <s v="COMPLIES"/>
    <x v="0"/>
  </r>
  <r>
    <x v="96"/>
    <x v="4"/>
    <n v="6.61"/>
    <n v="3.61"/>
    <n v="266.10000000000002"/>
    <n v="103.4"/>
    <n v="783.6"/>
    <s v="SI"/>
    <s v="OK"/>
    <n v="6.5"/>
    <n v="8.5"/>
    <s v="OK"/>
    <s v="OK"/>
    <x v="1"/>
    <s v="COMPLIES"/>
    <x v="0"/>
  </r>
  <r>
    <x v="97"/>
    <x v="3"/>
    <n v="6.55"/>
    <n v="2.14"/>
    <n v="140.19999999999999"/>
    <n v="70.3"/>
    <n v="904.2"/>
    <s v="SI"/>
    <s v="OK"/>
    <n v="6.5"/>
    <n v="8.5"/>
    <s v="OK"/>
    <s v="OK"/>
    <x v="1"/>
    <s v="COMPLIES"/>
    <x v="0"/>
  </r>
  <r>
    <x v="98"/>
    <x v="4"/>
    <n v="6.59"/>
    <n v="2.71"/>
    <n v="301.8"/>
    <n v="73.5"/>
    <n v="823.4"/>
    <s v="SI"/>
    <s v="OK"/>
    <n v="6.5"/>
    <n v="8.5"/>
    <s v="OK"/>
    <s v="OK"/>
    <x v="1"/>
    <s v="COMPLIES"/>
    <x v="0"/>
  </r>
  <r>
    <x v="99"/>
    <x v="1"/>
    <n v="8.2200000000000006"/>
    <n v="5.44"/>
    <n v="180.8"/>
    <n v="274.2"/>
    <n v="443.3"/>
    <s v="NO"/>
    <s v="OK"/>
    <n v="6.5"/>
    <n v="8.5"/>
    <s v="OK"/>
    <s v="Out"/>
    <x v="1"/>
    <s v="NON-COMPLIANT"/>
    <x v="0"/>
  </r>
  <r>
    <x v="100"/>
    <x v="3"/>
    <n v="8.6"/>
    <n v="7.08"/>
    <n v="225.4"/>
    <n v="172.3"/>
    <n v="242.3"/>
    <s v="NO"/>
    <s v="OK"/>
    <n v="6.5"/>
    <n v="8.5"/>
    <s v="Out"/>
    <s v="Out"/>
    <x v="0"/>
    <s v="NON-COMPLIANT"/>
    <x v="0"/>
  </r>
  <r>
    <x v="101"/>
    <x v="0"/>
    <n v="7.36"/>
    <n v="10.130000000000001"/>
    <n v="99.9"/>
    <n v="195.7"/>
    <n v="321.2"/>
    <s v="NO"/>
    <s v="OK"/>
    <n v="6.5"/>
    <n v="8.5"/>
    <s v="OK"/>
    <s v="Out"/>
    <x v="1"/>
    <s v="NON-COMPLIANT"/>
    <x v="1"/>
  </r>
  <r>
    <x v="102"/>
    <x v="1"/>
    <n v="6.5"/>
    <n v="3.03"/>
    <n v="130.9"/>
    <n v="110.7"/>
    <n v="1144.5"/>
    <s v="SI"/>
    <s v="OK"/>
    <n v="6.5"/>
    <n v="8.5"/>
    <s v="OK"/>
    <s v="OK"/>
    <x v="1"/>
    <s v="COMPLIES"/>
    <x v="0"/>
  </r>
  <r>
    <x v="103"/>
    <x v="3"/>
    <n v="7.49"/>
    <n v="7.9"/>
    <n v="141.80000000000001"/>
    <n v="43.3"/>
    <n v="1085.9000000000001"/>
    <s v="NO"/>
    <s v="OK"/>
    <n v="6.5"/>
    <n v="8.5"/>
    <s v="OK"/>
    <s v="Out"/>
    <x v="1"/>
    <s v="NON-COMPLIANT"/>
    <x v="0"/>
  </r>
  <r>
    <x v="104"/>
    <x v="0"/>
    <n v="6.46"/>
    <n v="4.1900000000000004"/>
    <n v="147.9"/>
    <n v="128.6"/>
    <n v="1050.8"/>
    <s v="NO"/>
    <s v="OK"/>
    <n v="6.5"/>
    <n v="8.5"/>
    <s v="Out"/>
    <s v="OK"/>
    <x v="1"/>
    <s v="NON-COMPLIANT"/>
    <x v="0"/>
  </r>
  <r>
    <x v="105"/>
    <x v="2"/>
    <n v="8.2799999999999994"/>
    <n v="1.3"/>
    <n v="103.1"/>
    <n v="22.4"/>
    <n v="1097.4000000000001"/>
    <s v="SI"/>
    <s v="OK"/>
    <n v="6.5"/>
    <n v="8.5"/>
    <s v="OK"/>
    <s v="OK"/>
    <x v="1"/>
    <s v="COMPLIES"/>
    <x v="0"/>
  </r>
  <r>
    <x v="106"/>
    <x v="3"/>
    <n v="7.96"/>
    <n v="3.97"/>
    <n v="113.4"/>
    <n v="213.7"/>
    <n v="717.5"/>
    <s v="SI"/>
    <s v="OK"/>
    <n v="6.5"/>
    <n v="8.5"/>
    <s v="OK"/>
    <s v="OK"/>
    <x v="1"/>
    <s v="COMPLIES"/>
    <x v="0"/>
  </r>
  <r>
    <x v="107"/>
    <x v="1"/>
    <n v="6.23"/>
    <n v="4.78"/>
    <n v="172.5"/>
    <n v="239.3"/>
    <n v="291.5"/>
    <s v="NO"/>
    <s v="OK"/>
    <n v="6.5"/>
    <n v="8.5"/>
    <s v="Out"/>
    <s v="OK"/>
    <x v="1"/>
    <s v="NON-COMPLIANT"/>
    <x v="0"/>
  </r>
  <r>
    <x v="108"/>
    <x v="3"/>
    <n v="6.47"/>
    <n v="7.02"/>
    <n v="112.2"/>
    <n v="224.8"/>
    <n v="902.9"/>
    <s v="NO"/>
    <s v="OK"/>
    <n v="6.5"/>
    <n v="8.5"/>
    <s v="Out"/>
    <s v="Out"/>
    <x v="1"/>
    <s v="NON-COMPLIANT"/>
    <x v="0"/>
  </r>
  <r>
    <x v="109"/>
    <x v="0"/>
    <n v="7.15"/>
    <n v="3.88"/>
    <n v="102.8"/>
    <n v="60.7"/>
    <n v="1090.7"/>
    <s v="SI"/>
    <s v="OK"/>
    <n v="6.5"/>
    <n v="8.5"/>
    <s v="OK"/>
    <s v="OK"/>
    <x v="1"/>
    <s v="COMPLIES"/>
    <x v="0"/>
  </r>
  <r>
    <x v="110"/>
    <x v="4"/>
    <n v="8.48"/>
    <n v="11.59"/>
    <n v="113"/>
    <n v="55"/>
    <n v="172.3"/>
    <s v="NO"/>
    <s v="OK"/>
    <n v="6.5"/>
    <n v="8.5"/>
    <s v="OK"/>
    <s v="Out"/>
    <x v="1"/>
    <s v="NON-COMPLIANT"/>
    <x v="1"/>
  </r>
  <r>
    <x v="111"/>
    <x v="0"/>
    <n v="8.0399999999999991"/>
    <n v="6.76"/>
    <n v="309.60000000000002"/>
    <n v="241.7"/>
    <n v="774.3"/>
    <s v="NO"/>
    <s v="OK"/>
    <n v="6.5"/>
    <n v="8.5"/>
    <s v="OK"/>
    <s v="Out"/>
    <x v="1"/>
    <s v="NON-COMPLIANT"/>
    <x v="0"/>
  </r>
  <r>
    <x v="112"/>
    <x v="3"/>
    <n v="8.17"/>
    <n v="0.78"/>
    <n v="183.7"/>
    <n v="275.10000000000002"/>
    <n v="918.9"/>
    <s v="NO"/>
    <s v="OK"/>
    <n v="6.5"/>
    <n v="8.5"/>
    <s v="OK"/>
    <s v="OK"/>
    <x v="1"/>
    <s v="COMPLIES"/>
    <x v="0"/>
  </r>
  <r>
    <x v="113"/>
    <x v="1"/>
    <n v="8.69"/>
    <n v="7.45"/>
    <n v="193.6"/>
    <n v="32.700000000000003"/>
    <n v="577.1"/>
    <s v="NO"/>
    <s v="OK"/>
    <n v="6.5"/>
    <n v="8.5"/>
    <s v="Out"/>
    <s v="Out"/>
    <x v="0"/>
    <s v="NON-COMPLIANT"/>
    <x v="0"/>
  </r>
  <r>
    <x v="114"/>
    <x v="4"/>
    <n v="6.22"/>
    <n v="10.51"/>
    <n v="268.89999999999998"/>
    <n v="216"/>
    <n v="829.4"/>
    <s v="NO"/>
    <s v="OK"/>
    <n v="6.5"/>
    <n v="8.5"/>
    <s v="Out"/>
    <s v="Out"/>
    <x v="1"/>
    <s v="NON-COMPLIANT"/>
    <x v="1"/>
  </r>
  <r>
    <x v="115"/>
    <x v="0"/>
    <n v="7.61"/>
    <n v="5.27"/>
    <n v="311.10000000000002"/>
    <n v="228.7"/>
    <n v="159.80000000000001"/>
    <s v="NO"/>
    <s v="OK"/>
    <n v="6.5"/>
    <n v="8.5"/>
    <s v="OK"/>
    <s v="Out"/>
    <x v="1"/>
    <s v="NON-COMPLIANT"/>
    <x v="0"/>
  </r>
  <r>
    <x v="116"/>
    <x v="3"/>
    <n v="7.1"/>
    <n v="1.78"/>
    <n v="294.3"/>
    <n v="74.8"/>
    <n v="932.2"/>
    <s v="SI"/>
    <s v="OK"/>
    <n v="6.5"/>
    <n v="8.5"/>
    <s v="OK"/>
    <s v="OK"/>
    <x v="1"/>
    <s v="COMPLIES"/>
    <x v="0"/>
  </r>
  <r>
    <x v="117"/>
    <x v="2"/>
    <n v="7.89"/>
    <n v="4.9800000000000004"/>
    <n v="203.6"/>
    <n v="171.3"/>
    <n v="254.2"/>
    <s v="SI"/>
    <s v="OK"/>
    <n v="6.5"/>
    <n v="8.5"/>
    <s v="OK"/>
    <s v="OK"/>
    <x v="1"/>
    <s v="COMPLIES"/>
    <x v="0"/>
  </r>
  <r>
    <x v="118"/>
    <x v="5"/>
    <n v="7.43"/>
    <n v="11.9"/>
    <n v="140"/>
    <n v="216.9"/>
    <n v="692.9"/>
    <s v="NO"/>
    <s v="OK"/>
    <n v="6.5"/>
    <n v="8.5"/>
    <s v="OK"/>
    <s v="Out"/>
    <x v="1"/>
    <s v="NON-COMPLIANT"/>
    <x v="1"/>
  </r>
  <r>
    <x v="119"/>
    <x v="3"/>
    <n v="8.67"/>
    <n v="2.23"/>
    <n v="230.3"/>
    <n v="266.8"/>
    <n v="218"/>
    <s v="NO"/>
    <s v="OK"/>
    <n v="6.5"/>
    <n v="8.5"/>
    <s v="Out"/>
    <s v="OK"/>
    <x v="1"/>
    <s v="NON-COMPLIANT"/>
    <x v="0"/>
  </r>
  <r>
    <x v="120"/>
    <x v="6"/>
    <m/>
    <m/>
    <m/>
    <m/>
    <m/>
    <m/>
    <m/>
    <n v="6.5"/>
    <n v="8.5"/>
    <s v="Out"/>
    <s v="OK"/>
    <x v="0"/>
    <s v="NON-COMPLIANT"/>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32B16C-3568-4AC4-BD7F-204372A3A9DA}" name="PivotTable9"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
  <location ref="E34:F46" firstHeaderRow="1" firstDataRow="1" firstDataCol="1" rowPageCount="1" colPageCount="1"/>
  <pivotFields count="18">
    <pivotField axis="axisRow" compact="0" outline="0"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compact="0" outline="0" showAll="0">
      <items count="8">
        <item x="5"/>
        <item x="1"/>
        <item x="3"/>
        <item x="0"/>
        <item x="4"/>
        <item x="2"/>
        <item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3">
        <item h="1" x="1"/>
        <item x="0"/>
        <item t="default"/>
      </items>
    </pivotField>
    <pivotField compact="0" outline="0" showAll="0"/>
    <pivotField compact="0" outline="0" showAll="0"/>
    <pivotField compact="0" outline="0" showAll="0"/>
    <pivotField compact="0" outline="0" showAll="0">
      <items count="4">
        <item x="0"/>
        <item x="1"/>
        <item x="2"/>
        <item t="default"/>
      </items>
    </pivotField>
  </pivotFields>
  <rowFields count="1">
    <field x="0"/>
  </rowFields>
  <rowItems count="12">
    <i>
      <x/>
    </i>
    <i>
      <x v="1"/>
    </i>
    <i>
      <x v="21"/>
    </i>
    <i>
      <x v="23"/>
    </i>
    <i>
      <x v="26"/>
    </i>
    <i>
      <x v="27"/>
    </i>
    <i>
      <x v="31"/>
    </i>
    <i>
      <x v="52"/>
    </i>
    <i>
      <x v="100"/>
    </i>
    <i>
      <x v="113"/>
    </i>
    <i>
      <x v="120"/>
    </i>
    <i t="grand">
      <x/>
    </i>
  </rowItems>
  <colItems count="1">
    <i/>
  </colItems>
  <pageFields count="1">
    <pageField fld="13" hier="-1"/>
  </pageFields>
  <dataFields count="1">
    <dataField name="Average of Dureza_mgL_CaCO3" fld="4" subtotal="average" baseField="0" baseItem="0"/>
  </dataFields>
  <formats count="13">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outline="0" fieldPosition="0">
        <references count="1">
          <reference field="0" count="11">
            <x v="0"/>
            <x v="1"/>
            <x v="21"/>
            <x v="23"/>
            <x v="26"/>
            <x v="27"/>
            <x v="31"/>
            <x v="52"/>
            <x v="100"/>
            <x v="113"/>
            <x v="120"/>
          </reference>
        </references>
      </pivotArea>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outline="0" fieldPosition="0">
        <references count="1">
          <reference field="0" count="11">
            <x v="0"/>
            <x v="1"/>
            <x v="21"/>
            <x v="23"/>
            <x v="26"/>
            <x v="27"/>
            <x v="31"/>
            <x v="52"/>
            <x v="100"/>
            <x v="113"/>
            <x v="120"/>
          </reference>
        </references>
      </pivotArea>
    </format>
    <format dxfId="5">
      <pivotArea dataOnly="0" labelOnly="1" grandRow="1" outline="0"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ACA0B2-59E0-45D2-8391-A4CDE83A188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13:M20" firstHeaderRow="0" firstDataRow="1" firstDataCol="1"/>
  <pivotFields count="18">
    <pivotField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showAll="0">
      <items count="8">
        <item x="5"/>
        <item x="1"/>
        <item x="3"/>
        <item x="0"/>
        <item x="4"/>
        <item x="2"/>
        <item x="6"/>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4">
        <item sd="0" x="0"/>
        <item x="1"/>
        <item x="2"/>
        <item t="default"/>
      </items>
    </pivotField>
  </pivotFields>
  <rowFields count="2">
    <field x="17"/>
    <field x="16"/>
  </rowFields>
  <rowItems count="7">
    <i>
      <x/>
    </i>
    <i>
      <x v="1"/>
    </i>
    <i r="1">
      <x v="1"/>
    </i>
    <i r="1">
      <x v="2"/>
    </i>
    <i r="1">
      <x v="3"/>
    </i>
    <i r="1">
      <x v="4"/>
    </i>
    <i t="grand">
      <x/>
    </i>
  </rowItems>
  <colFields count="1">
    <field x="-2"/>
  </colFields>
  <colItems count="2">
    <i>
      <x/>
    </i>
    <i i="1">
      <x v="1"/>
    </i>
  </colItems>
  <dataFields count="2">
    <dataField name="Average of Turbidez" fld="3" subtotal="average" baseField="17" baseItem="0"/>
    <dataField name="Average of pH" fld="2" subtotal="average" baseField="17" baseItem="0"/>
  </dataFields>
  <formats count="24">
    <format dxfId="40">
      <pivotArea collapsedLevelsAreSubtotals="1" fieldPosition="0">
        <references count="1">
          <reference field="17" count="1">
            <x v="1"/>
          </reference>
        </references>
      </pivotArea>
    </format>
    <format dxfId="39">
      <pivotArea collapsedLevelsAreSubtotals="1" fieldPosition="0">
        <references count="2">
          <reference field="16" count="4">
            <x v="1"/>
            <x v="2"/>
            <x v="3"/>
            <x v="4"/>
          </reference>
          <reference field="17" count="1" selected="0">
            <x v="1"/>
          </reference>
        </references>
      </pivotArea>
    </format>
    <format dxfId="38">
      <pivotArea grandRow="1" outline="0" collapsedLevelsAreSubtotals="1" fieldPosition="0"/>
    </format>
    <format dxfId="37">
      <pivotArea type="all" dataOnly="0" outline="0" fieldPosition="0"/>
    </format>
    <format dxfId="36">
      <pivotArea outline="0" collapsedLevelsAreSubtotals="1" fieldPosition="0"/>
    </format>
    <format dxfId="35">
      <pivotArea field="17" type="button" dataOnly="0" labelOnly="1" outline="0" axis="axisRow" fieldPosition="0"/>
    </format>
    <format dxfId="34">
      <pivotArea dataOnly="0" labelOnly="1" fieldPosition="0">
        <references count="1">
          <reference field="17" count="2">
            <x v="0"/>
            <x v="1"/>
          </reference>
        </references>
      </pivotArea>
    </format>
    <format dxfId="33">
      <pivotArea dataOnly="0" labelOnly="1" grandRow="1" outline="0" fieldPosition="0"/>
    </format>
    <format dxfId="32">
      <pivotArea dataOnly="0" labelOnly="1" fieldPosition="0">
        <references count="2">
          <reference field="16" count="4">
            <x v="1"/>
            <x v="2"/>
            <x v="3"/>
            <x v="4"/>
          </reference>
          <reference field="17" count="1" selected="0">
            <x v="1"/>
          </reference>
        </references>
      </pivotArea>
    </format>
    <format dxfId="31">
      <pivotArea dataOnly="0" labelOnly="1" outline="0" fieldPosition="0">
        <references count="1">
          <reference field="4294967294" count="2">
            <x v="0"/>
            <x v="1"/>
          </reference>
        </references>
      </pivotArea>
    </format>
    <format dxfId="30">
      <pivotArea type="all" dataOnly="0" outline="0" fieldPosition="0"/>
    </format>
    <format dxfId="29">
      <pivotArea outline="0" collapsedLevelsAreSubtotals="1" fieldPosition="0"/>
    </format>
    <format dxfId="28">
      <pivotArea dataOnly="0" labelOnly="1" fieldPosition="0">
        <references count="1">
          <reference field="17" count="2">
            <x v="0"/>
            <x v="1"/>
          </reference>
        </references>
      </pivotArea>
    </format>
    <format dxfId="27">
      <pivotArea dataOnly="0" labelOnly="1" grandRow="1" outline="0" fieldPosition="0"/>
    </format>
    <format dxfId="26">
      <pivotArea dataOnly="0" labelOnly="1" fieldPosition="0">
        <references count="2">
          <reference field="16" count="4">
            <x v="1"/>
            <x v="2"/>
            <x v="3"/>
            <x v="4"/>
          </reference>
          <reference field="17" count="1" selected="0">
            <x v="1"/>
          </reference>
        </references>
      </pivotArea>
    </format>
    <format dxfId="25">
      <pivotArea field="17" type="button" dataOnly="0" labelOnly="1" outline="0" axis="axisRow" fieldPosition="0"/>
    </format>
    <format dxfId="24">
      <pivotArea dataOnly="0" labelOnly="1" outline="0" fieldPosition="0">
        <references count="1">
          <reference field="4294967294" count="2">
            <x v="0"/>
            <x v="1"/>
          </reference>
        </references>
      </pivotArea>
    </format>
    <format dxfId="23">
      <pivotArea type="all" dataOnly="0" outline="0" fieldPosition="0"/>
    </format>
    <format dxfId="22">
      <pivotArea outline="0" collapsedLevelsAreSubtotals="1" fieldPosition="0"/>
    </format>
    <format dxfId="21">
      <pivotArea field="17" type="button" dataOnly="0" labelOnly="1" outline="0" axis="axisRow" fieldPosition="0"/>
    </format>
    <format dxfId="20">
      <pivotArea dataOnly="0" labelOnly="1" fieldPosition="0">
        <references count="1">
          <reference field="17" count="2">
            <x v="0"/>
            <x v="1"/>
          </reference>
        </references>
      </pivotArea>
    </format>
    <format dxfId="19">
      <pivotArea dataOnly="0" labelOnly="1" grandRow="1" outline="0" fieldPosition="0"/>
    </format>
    <format dxfId="18">
      <pivotArea dataOnly="0" labelOnly="1" fieldPosition="0">
        <references count="2">
          <reference field="16" count="4">
            <x v="1"/>
            <x v="2"/>
            <x v="3"/>
            <x v="4"/>
          </reference>
          <reference field="17" count="1" selected="0">
            <x v="1"/>
          </reference>
        </references>
      </pivotArea>
    </format>
    <format dxfId="1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19560B-2B12-4A86-85E4-9CAE4D79844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2:F19" firstHeaderRow="1" firstDataRow="1" firstDataCol="1" rowPageCount="1" colPageCount="1"/>
  <pivotFields count="18">
    <pivotField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axis="axisRow" showAll="0">
      <items count="8">
        <item x="5"/>
        <item x="1"/>
        <item x="3"/>
        <item x="0"/>
        <item x="4"/>
        <item x="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multipleItemSelectionAllowed="1" showAll="0">
      <items count="3">
        <item x="1"/>
        <item h="1"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7">
    <i>
      <x/>
    </i>
    <i>
      <x v="1"/>
    </i>
    <i>
      <x v="2"/>
    </i>
    <i>
      <x v="3"/>
    </i>
    <i>
      <x v="4"/>
    </i>
    <i>
      <x v="5"/>
    </i>
    <i t="grand">
      <x/>
    </i>
  </rowItems>
  <colItems count="1">
    <i/>
  </colItems>
  <pageFields count="1">
    <pageField fld="15" hier="-1"/>
  </pageFields>
  <dataFields count="1">
    <dataField name="Count of Estado_Agua" fld="14" subtotal="count" baseField="0" baseItem="0"/>
  </dataFields>
  <formats count="11">
    <format dxfId="51">
      <pivotArea field="15" type="button" dataOnly="0" labelOnly="1" outline="0" axis="axisPage" fieldPosition="0"/>
    </format>
    <format dxfId="50">
      <pivotArea field="1" type="button" dataOnly="0" labelOnly="1" outline="0" axis="axisRow" fieldPosition="0"/>
    </format>
    <format dxfId="49">
      <pivotArea dataOnly="0" labelOnly="1" outline="0" axis="axisValues" fieldPosition="0"/>
    </format>
    <format dxfId="48">
      <pivotArea grandRow="1" outline="0" collapsedLevelsAreSubtotals="1" fieldPosition="0"/>
    </format>
    <format dxfId="47">
      <pivotArea dataOnly="0" labelOnly="1" grandRow="1" outline="0" fieldPosition="0"/>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6">
            <x v="0"/>
            <x v="1"/>
            <x v="2"/>
            <x v="3"/>
            <x v="4"/>
            <x v="5"/>
          </reference>
        </references>
      </pivotArea>
    </format>
    <format dxfId="42">
      <pivotArea dataOnly="0" labelOnly="1" grandRow="1" outline="0"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65C754-7CC6-434E-BCD2-41D292BCF913}"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C6:D18" firstHeaderRow="1" firstDataRow="1" firstDataCol="1" rowPageCount="1" colPageCount="1"/>
  <pivotFields count="18">
    <pivotField axis="axisRow" compact="0" outline="0"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compact="0" outline="0" showAll="0">
      <items count="8">
        <item x="5"/>
        <item x="1"/>
        <item x="3"/>
        <item x="0"/>
        <item x="4"/>
        <item x="2"/>
        <item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3">
        <item h="1" x="1"/>
        <item x="0"/>
        <item t="default"/>
      </items>
    </pivotField>
    <pivotField compact="0" outline="0" showAll="0"/>
    <pivotField compact="0" outline="0" showAll="0"/>
    <pivotField compact="0" outline="0" showAll="0"/>
    <pivotField compact="0" outline="0" showAll="0">
      <items count="4">
        <item x="0"/>
        <item x="1"/>
        <item x="2"/>
        <item t="default"/>
      </items>
    </pivotField>
  </pivotFields>
  <rowFields count="1">
    <field x="0"/>
  </rowFields>
  <rowItems count="12">
    <i>
      <x/>
    </i>
    <i>
      <x v="1"/>
    </i>
    <i>
      <x v="21"/>
    </i>
    <i>
      <x v="23"/>
    </i>
    <i>
      <x v="26"/>
    </i>
    <i>
      <x v="27"/>
    </i>
    <i>
      <x v="31"/>
    </i>
    <i>
      <x v="52"/>
    </i>
    <i>
      <x v="100"/>
    </i>
    <i>
      <x v="113"/>
    </i>
    <i>
      <x v="120"/>
    </i>
    <i t="grand">
      <x/>
    </i>
  </rowItems>
  <colItems count="1">
    <i/>
  </colItems>
  <pageFields count="1">
    <pageField fld="13" hier="-1"/>
  </pageFields>
  <dataFields count="1">
    <dataField name="Average of Dureza_mgL_CaCO3" fld="4"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7"/>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27"/>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28DE471-5070-42A2-8812-E383F4F5C384}" autoFormatId="16" applyNumberFormats="0" applyBorderFormats="0" applyFontFormats="0" applyPatternFormats="0" applyAlignmentFormats="0" applyWidthHeightFormats="0">
  <queryTableRefresh nextId="18" unboundColumnsRight="7">
    <queryTableFields count="16">
      <queryTableField id="1" name="Fecha" tableColumnId="1"/>
      <queryTableField id="2" name="Punto_Muestreo" tableColumnId="2"/>
      <queryTableField id="3" name="pH" tableColumnId="3"/>
      <queryTableField id="4" name="Turbidez_NTU" tableColumnId="4"/>
      <queryTableField id="5" name="Dureza_mgL_CaCO3" tableColumnId="5"/>
      <queryTableField id="6" name="Cloruros_mgL" tableColumnId="6"/>
      <queryTableField id="7" name="Conductividad_uScm" tableColumnId="7"/>
      <queryTableField id="8" name="Cumple_Norma" tableColumnId="8"/>
      <queryTableField id="9" name="Validacion_pH" tableColumnId="9"/>
      <queryTableField id="10" dataBound="0" tableColumnId="10"/>
      <queryTableField id="11" dataBound="0" tableColumnId="11"/>
      <queryTableField id="12" dataBound="0" tableColumnId="13"/>
      <queryTableField id="14" dataBound="0" tableColumnId="15"/>
      <queryTableField id="15" dataBound="0" tableColumnId="16"/>
      <queryTableField id="16" dataBound="0" tableColumnId="17"/>
      <queryTableField id="17"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nto_Muestreo1" xr10:uid="{1A532B34-4126-4842-A68F-2D777281272C}" sourceName="Punto_Muestreo">
  <pivotTables>
    <pivotTable tabId="11" name="PivotTable4"/>
    <pivotTable tabId="11" name="PivotTable3"/>
    <pivotTable tabId="10" name="PivotTable3"/>
    <pivotTable tabId="11" name="PivotTable9"/>
  </pivotTables>
  <data>
    <tabular pivotCacheId="1310489737">
      <items count="7">
        <i x="5" s="1"/>
        <i x="1" s="1"/>
        <i x="3" s="1"/>
        <i x="0" s="1"/>
        <i x="4"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ivel_Riesgo1" xr10:uid="{CC71D037-8E89-475B-AD92-EA5E1D23AC76}" sourceName="Nivel_Riesgo">
  <pivotTables>
    <pivotTable tabId="11" name="PivotTable4"/>
  </pivotTables>
  <data>
    <tabular pivotCacheId="131048973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nto_Muestreo" xr10:uid="{6FFDB052-7F46-455C-A6D2-FB3F1E134367}" cache="Slicer_Punto_Muestreo1" caption="Punto_Muestreo" rowHeight="234950"/>
  <slicer name="Nivel_Riesgo" xr10:uid="{13A5E59B-62B4-478D-B4E5-8CE9E81476C5}" cache="Slicer_Nivel_Riesgo1" caption="Nivel_Riesgo"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79D5D5-526D-46CA-8EB5-5522C2A7C435}" name="Table1" displayName="Table1" ref="A1:H121" totalsRowShown="0">
  <autoFilter ref="A1:H121" xr:uid="{BA79D5D5-526D-46CA-8EB5-5522C2A7C435}"/>
  <tableColumns count="8">
    <tableColumn id="1" xr3:uid="{10A1DA11-C785-4D0E-904F-F9F445EC0BE0}" name="Fecha"/>
    <tableColumn id="2" xr3:uid="{24FA3175-0864-4F69-982E-304DD3D18C8C}" name="Punto_Muestreo"/>
    <tableColumn id="3" xr3:uid="{7202D017-7A54-4359-B187-16AE503FDDA6}" name="pH"/>
    <tableColumn id="4" xr3:uid="{661566FF-2B51-4E06-804B-97DBD3F08611}" name="Turbidez_NTU"/>
    <tableColumn id="5" xr3:uid="{D140B1F2-FBF6-49BE-81BC-D8D82A1154DC}" name="Dureza_mgL_CaCO3"/>
    <tableColumn id="6" xr3:uid="{D00F857C-F8D4-4ECD-A0F0-12640C07F6DC}" name="Cloruros_mgL"/>
    <tableColumn id="7" xr3:uid="{AD45AF59-3706-46D5-B613-1184B5504EC9}" name="Conductividad_uScm"/>
    <tableColumn id="8" xr3:uid="{44E87BF5-7C06-41F3-8E11-14A29FC49CCE}" name="Cumple_Norm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58CE50-8534-4A55-B132-750BF2436F84}" name="Table1__2" displayName="Table1__2" ref="A1:P122" tableType="queryTable" totalsRowShown="0">
  <autoFilter ref="A1:P122" xr:uid="{9C58CE50-8534-4A55-B132-750BF2436F84}"/>
  <tableColumns count="16">
    <tableColumn id="1" xr3:uid="{7DA0E1BA-6123-40BD-9E4B-DB570196FC79}" uniqueName="1" name="Fecha" queryTableFieldId="1" dataDxfId="66"/>
    <tableColumn id="2" xr3:uid="{DBBC4AE6-929B-4A3C-8ED1-548C5E5CEE57}" uniqueName="2" name="Punto_Muestreo" queryTableFieldId="2" dataDxfId="65"/>
    <tableColumn id="3" xr3:uid="{DE5C9C35-7EAD-47F4-AC64-BE88730799E7}" uniqueName="3" name="pH" queryTableFieldId="3"/>
    <tableColumn id="4" xr3:uid="{9C4A165C-ECCC-4852-8036-B72DC9489992}" uniqueName="4" name="Turbidez_NTU" queryTableFieldId="4"/>
    <tableColumn id="5" xr3:uid="{05F34704-4C65-4042-87D5-8C4C24E9EB2B}" uniqueName="5" name="Dureza_mgL_CaCO3" queryTableFieldId="5"/>
    <tableColumn id="6" xr3:uid="{E704BDF7-58AF-446C-9A44-B44B56EF2BAB}" uniqueName="6" name="Cloruros_mgL" queryTableFieldId="6"/>
    <tableColumn id="7" xr3:uid="{9A550C77-A225-4913-9673-191E937C45AA}" uniqueName="7" name="Conductividad_uScm" queryTableFieldId="7"/>
    <tableColumn id="8" xr3:uid="{F005B193-7DD3-4F2D-8BBA-FABF8282DBF8}" uniqueName="8" name="Cumple_Norma" queryTableFieldId="8" dataDxfId="64"/>
    <tableColumn id="9" xr3:uid="{2342F995-2A9B-4902-BEF0-3E2E39A53004}" uniqueName="9" name="Validacion_pH" queryTableFieldId="9"/>
    <tableColumn id="10" xr3:uid="{DEDED971-65D7-4321-91F3-EE1E9E1E05B8}" uniqueName="10" name="pH_Min" queryTableFieldId="10" dataDxfId="63">
      <calculatedColumnFormula>VLOOKUP("pH",parametros!A:C,2,FALSE)</calculatedColumnFormula>
    </tableColumn>
    <tableColumn id="11" xr3:uid="{4D2155CA-357A-4BD2-8197-AFC66FE26D0E}" uniqueName="11" name="pH_Max" queryTableFieldId="11" dataDxfId="62">
      <calculatedColumnFormula>VLOOKUP("pH",parametros!A:C,3,FALSE)</calculatedColumnFormula>
    </tableColumn>
    <tableColumn id="13" xr3:uid="{AF2F3E10-CB9E-4297-BC7E-8780D029BD36}" uniqueName="13" name="Cumple_pH" queryTableFieldId="12" dataDxfId="61">
      <calculatedColumnFormula array="1">IF(AND(Table1__2[[#This Row],[pH]]&gt;=Table1__2[pH_Min],Table1__2[[#This Row],[pH]]&lt;=Table1__2[pH_Max]),"OK","Out")</calculatedColumnFormula>
    </tableColumn>
    <tableColumn id="15" xr3:uid="{C7F57A15-6ADD-49BB-9593-065D3C37DFA4}" uniqueName="15" name="Cumple_Turbidez" queryTableFieldId="14" dataDxfId="60">
      <calculatedColumnFormula>IF(D2&lt;=VLOOKUP("Turbidez_NTU",parametros!A:C,3,FALSE),"OK","Out")</calculatedColumnFormula>
    </tableColumn>
    <tableColumn id="16" xr3:uid="{98731829-C883-4A2A-8AA5-3CAAF0E6CB8E}" uniqueName="16" name="Cumple_Cloruros" queryTableFieldId="15" dataDxfId="59">
      <calculatedColumnFormula>IF(F1&lt;=VLOOKUP("Cloruros_mgL",parametros!A:C,3,FALSE),"OK","Out")</calculatedColumnFormula>
    </tableColumn>
    <tableColumn id="17" xr3:uid="{00759085-97AB-49BB-942E-6220D2C1B40B}" uniqueName="17" name="Estado_Agua" queryTableFieldId="16" dataDxfId="58">
      <calculatedColumnFormula>IF(AND(L2="OK",M2="OK",N2="OK"),"COMPLIES","NON-COMPLIANT")</calculatedColumnFormula>
    </tableColumn>
    <tableColumn id="18" xr3:uid="{D406FCDA-E2CD-48AE-B125-271861B1CFF2}" uniqueName="18" name="Nivel_Riesgo" queryTableFieldId="17" dataDxfId="57">
      <calculatedColumnFormula>IF(H2="COMPLIES","Safe",IF(D2&gt;10,"Critical","Medium Risk"))</calculatedColumnFormula>
    </tableColumn>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CC546EF-C01B-47CD-9FA5-9F8818FCD300}" name="Table610" displayName="Table610" ref="H6:I7" totalsRowShown="0" headerRowDxfId="3" dataDxfId="2">
  <autoFilter ref="H6:I7" xr:uid="{BCC546EF-C01B-47CD-9FA5-9F8818FCD300}"/>
  <tableColumns count="2">
    <tableColumn id="1" xr3:uid="{F001D344-1094-48EF-9667-282C05491B39}" name="Punto_Muestreo" dataDxfId="1"/>
    <tableColumn id="2" xr3:uid="{4A94D50F-3B1F-4786-97C9-0FABF5662AE0}" name="Count of Rows" dataDxfId="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64A9F1-2ED2-480A-A8A7-5A7E8849A9FF}" name="tbl_parametros" displayName="tbl_parametros" ref="A1:C4" totalsRowShown="0" headerRowDxfId="56" dataDxfId="55">
  <autoFilter ref="A1:C4" xr:uid="{D164A9F1-2ED2-480A-A8A7-5A7E8849A9FF}"/>
  <tableColumns count="3">
    <tableColumn id="1" xr3:uid="{1CC413C4-070B-4B1B-9930-4681109942E9}" name="Parámetro" dataDxfId="54"/>
    <tableColumn id="2" xr3:uid="{D62DF781-C9CF-4916-B6EF-0124FF0C30B5}" name="Min" dataDxfId="53"/>
    <tableColumn id="3" xr3:uid="{BC9BACDE-3678-429E-AB38-67D34E6F1C2E}" name="Max" dataDxfId="5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 xr10:uid="{78E85A9E-F2CE-4141-8452-B41ED769A91D}" sourceName="Fecha">
  <pivotTables>
    <pivotTable tabId="11" name="PivotTable4"/>
    <pivotTable tabId="11" name="PivotTable3"/>
    <pivotTable tabId="10" name="PivotTable3"/>
    <pivotTable tabId="11" name="PivotTable9"/>
  </pivotTables>
  <state minimalRefreshVersion="6" lastRefreshVersion="6" pivotCacheId="131048973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xr10:uid="{719AAEC4-4C37-46F7-BAC7-0743B69DA921}" cache="NativeTimeline_Fecha" caption="Fecha"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1"/>
  <sheetViews>
    <sheetView workbookViewId="0">
      <selection activeCell="D4" sqref="D4"/>
    </sheetView>
  </sheetViews>
  <sheetFormatPr defaultRowHeight="14.4" x14ac:dyDescent="0.3"/>
  <cols>
    <col min="2" max="2" width="17.109375" customWidth="1"/>
    <col min="3" max="3" width="10.21875" customWidth="1"/>
    <col min="4" max="4" width="16.109375" customWidth="1"/>
    <col min="5" max="5" width="19.77734375" customWidth="1"/>
    <col min="6" max="6" width="14.44140625" customWidth="1"/>
    <col min="7" max="7" width="20.77734375" customWidth="1"/>
    <col min="8" max="8" width="16.109375" customWidth="1"/>
  </cols>
  <sheetData>
    <row r="1" spans="1:8" x14ac:dyDescent="0.3">
      <c r="A1" t="s">
        <v>0</v>
      </c>
      <c r="B1" t="s">
        <v>1</v>
      </c>
      <c r="C1" t="s">
        <v>2</v>
      </c>
      <c r="D1" t="s">
        <v>3</v>
      </c>
      <c r="E1" t="s">
        <v>4</v>
      </c>
      <c r="F1" t="s">
        <v>5</v>
      </c>
      <c r="G1" t="s">
        <v>6</v>
      </c>
      <c r="H1" t="s">
        <v>7</v>
      </c>
    </row>
    <row r="2" spans="1:8" x14ac:dyDescent="0.3">
      <c r="A2" t="s">
        <v>8</v>
      </c>
      <c r="B2" t="s">
        <v>9</v>
      </c>
      <c r="C2">
        <v>8.39</v>
      </c>
      <c r="D2">
        <v>4.91</v>
      </c>
      <c r="E2">
        <v>126.5</v>
      </c>
      <c r="F2">
        <v>276.5</v>
      </c>
      <c r="G2">
        <v>245.4</v>
      </c>
      <c r="H2" t="s">
        <v>10</v>
      </c>
    </row>
    <row r="3" spans="1:8" x14ac:dyDescent="0.3">
      <c r="A3" t="s">
        <v>11</v>
      </c>
      <c r="B3" t="s">
        <v>12</v>
      </c>
      <c r="C3">
        <v>8.01</v>
      </c>
      <c r="D3">
        <v>2.1</v>
      </c>
      <c r="E3">
        <v>163</v>
      </c>
      <c r="F3">
        <v>26.3</v>
      </c>
      <c r="G3">
        <v>1037.3</v>
      </c>
      <c r="H3" t="s">
        <v>13</v>
      </c>
    </row>
    <row r="4" spans="1:8" x14ac:dyDescent="0.3">
      <c r="A4" t="s">
        <v>14</v>
      </c>
      <c r="B4" t="s">
        <v>9</v>
      </c>
      <c r="C4">
        <v>8.4</v>
      </c>
      <c r="D4">
        <v>5.76</v>
      </c>
      <c r="E4">
        <v>120.8</v>
      </c>
      <c r="F4">
        <v>116</v>
      </c>
      <c r="G4">
        <v>968.2</v>
      </c>
      <c r="H4" t="s">
        <v>10</v>
      </c>
    </row>
    <row r="5" spans="1:8" x14ac:dyDescent="0.3">
      <c r="A5" t="s">
        <v>15</v>
      </c>
      <c r="B5" t="s">
        <v>16</v>
      </c>
      <c r="C5">
        <v>7.26</v>
      </c>
      <c r="D5">
        <v>11.08</v>
      </c>
      <c r="E5">
        <v>223.5</v>
      </c>
      <c r="F5">
        <v>177.4</v>
      </c>
      <c r="G5">
        <v>895.7</v>
      </c>
      <c r="H5" t="s">
        <v>10</v>
      </c>
    </row>
    <row r="6" spans="1:8" x14ac:dyDescent="0.3">
      <c r="A6" t="s">
        <v>17</v>
      </c>
      <c r="B6" t="s">
        <v>18</v>
      </c>
      <c r="C6">
        <v>8.76</v>
      </c>
      <c r="D6">
        <v>4.49</v>
      </c>
      <c r="E6">
        <v>162.19999999999999</v>
      </c>
      <c r="F6">
        <v>159</v>
      </c>
      <c r="G6">
        <v>326.8</v>
      </c>
      <c r="H6" t="s">
        <v>10</v>
      </c>
    </row>
    <row r="7" spans="1:8" x14ac:dyDescent="0.3">
      <c r="A7" t="s">
        <v>19</v>
      </c>
      <c r="B7" t="s">
        <v>18</v>
      </c>
      <c r="C7">
        <v>6.01</v>
      </c>
      <c r="D7">
        <v>8.68</v>
      </c>
      <c r="E7">
        <v>169.1</v>
      </c>
      <c r="F7">
        <v>196.5</v>
      </c>
      <c r="G7">
        <v>752.3</v>
      </c>
      <c r="H7" t="s">
        <v>10</v>
      </c>
    </row>
    <row r="8" spans="1:8" x14ac:dyDescent="0.3">
      <c r="A8" t="s">
        <v>20</v>
      </c>
      <c r="B8" t="s">
        <v>18</v>
      </c>
      <c r="C8">
        <v>8.06</v>
      </c>
      <c r="D8">
        <v>5.52</v>
      </c>
      <c r="E8">
        <v>109</v>
      </c>
      <c r="F8">
        <v>231.4</v>
      </c>
      <c r="G8">
        <v>537.6</v>
      </c>
      <c r="H8" t="s">
        <v>10</v>
      </c>
    </row>
    <row r="9" spans="1:8" x14ac:dyDescent="0.3">
      <c r="A9" t="s">
        <v>21</v>
      </c>
      <c r="B9" t="s">
        <v>22</v>
      </c>
      <c r="C9">
        <v>8.4700000000000006</v>
      </c>
      <c r="D9">
        <v>2.67</v>
      </c>
      <c r="E9">
        <v>85.6</v>
      </c>
      <c r="F9">
        <v>15.8</v>
      </c>
      <c r="G9">
        <v>516.20000000000005</v>
      </c>
      <c r="H9" t="s">
        <v>13</v>
      </c>
    </row>
    <row r="10" spans="1:8" x14ac:dyDescent="0.3">
      <c r="A10" t="s">
        <v>23</v>
      </c>
      <c r="B10" t="s">
        <v>22</v>
      </c>
      <c r="C10">
        <v>6.9</v>
      </c>
      <c r="D10">
        <v>8.41</v>
      </c>
      <c r="E10">
        <v>161.1</v>
      </c>
      <c r="F10">
        <v>123.7</v>
      </c>
      <c r="G10">
        <v>1025</v>
      </c>
      <c r="H10" t="s">
        <v>10</v>
      </c>
    </row>
    <row r="11" spans="1:8" x14ac:dyDescent="0.3">
      <c r="A11" t="s">
        <v>24</v>
      </c>
      <c r="B11" t="s">
        <v>12</v>
      </c>
      <c r="C11">
        <v>8.4499999999999993</v>
      </c>
      <c r="D11">
        <v>2.64</v>
      </c>
      <c r="E11">
        <v>240.4</v>
      </c>
      <c r="F11">
        <v>235.9</v>
      </c>
      <c r="G11">
        <v>189.4</v>
      </c>
      <c r="H11" t="s">
        <v>13</v>
      </c>
    </row>
    <row r="12" spans="1:8" x14ac:dyDescent="0.3">
      <c r="A12" t="s">
        <v>25</v>
      </c>
      <c r="B12" t="s">
        <v>16</v>
      </c>
      <c r="C12">
        <v>7.32</v>
      </c>
      <c r="D12">
        <v>7.93</v>
      </c>
      <c r="E12">
        <v>219.2</v>
      </c>
      <c r="F12">
        <v>185.5</v>
      </c>
      <c r="G12">
        <v>377.5</v>
      </c>
      <c r="H12" t="s">
        <v>10</v>
      </c>
    </row>
    <row r="13" spans="1:8" x14ac:dyDescent="0.3">
      <c r="A13" t="s">
        <v>26</v>
      </c>
      <c r="B13" t="s">
        <v>18</v>
      </c>
      <c r="C13">
        <v>8.3699999999999992</v>
      </c>
      <c r="D13">
        <v>0.74</v>
      </c>
      <c r="E13">
        <v>213.5</v>
      </c>
      <c r="F13">
        <v>209.3</v>
      </c>
      <c r="G13">
        <v>1108.9000000000001</v>
      </c>
      <c r="H13" t="s">
        <v>13</v>
      </c>
    </row>
    <row r="14" spans="1:8" x14ac:dyDescent="0.3">
      <c r="A14" t="s">
        <v>27</v>
      </c>
      <c r="B14" t="s">
        <v>28</v>
      </c>
      <c r="C14">
        <v>6.2</v>
      </c>
      <c r="D14">
        <v>3.23</v>
      </c>
      <c r="E14">
        <v>277.39999999999998</v>
      </c>
      <c r="F14">
        <v>32.9</v>
      </c>
      <c r="G14">
        <v>884</v>
      </c>
      <c r="H14" t="s">
        <v>10</v>
      </c>
    </row>
    <row r="15" spans="1:8" x14ac:dyDescent="0.3">
      <c r="A15" t="s">
        <v>29</v>
      </c>
      <c r="B15" t="s">
        <v>28</v>
      </c>
      <c r="C15">
        <v>7.19</v>
      </c>
      <c r="D15">
        <v>8</v>
      </c>
      <c r="E15">
        <v>229.2</v>
      </c>
      <c r="F15">
        <v>150.1</v>
      </c>
      <c r="G15">
        <v>909</v>
      </c>
      <c r="H15" t="s">
        <v>10</v>
      </c>
    </row>
    <row r="16" spans="1:8" x14ac:dyDescent="0.3">
      <c r="A16" t="s">
        <v>30</v>
      </c>
      <c r="B16" t="s">
        <v>12</v>
      </c>
      <c r="C16">
        <v>6.98</v>
      </c>
      <c r="D16">
        <v>10.28</v>
      </c>
      <c r="E16">
        <v>221.2</v>
      </c>
      <c r="F16">
        <v>142.30000000000001</v>
      </c>
      <c r="G16">
        <v>523.79999999999995</v>
      </c>
      <c r="H16" t="s">
        <v>10</v>
      </c>
    </row>
    <row r="17" spans="1:8" x14ac:dyDescent="0.3">
      <c r="A17" t="s">
        <v>31</v>
      </c>
      <c r="B17" t="s">
        <v>12</v>
      </c>
      <c r="C17">
        <v>8.2799999999999994</v>
      </c>
      <c r="D17">
        <v>1.94</v>
      </c>
      <c r="E17">
        <v>117.9</v>
      </c>
      <c r="F17">
        <v>203.9</v>
      </c>
      <c r="G17">
        <v>913.9</v>
      </c>
      <c r="H17" t="s">
        <v>13</v>
      </c>
    </row>
    <row r="18" spans="1:8" x14ac:dyDescent="0.3">
      <c r="A18" t="s">
        <v>32</v>
      </c>
      <c r="B18" t="s">
        <v>28</v>
      </c>
      <c r="C18">
        <v>7.91</v>
      </c>
      <c r="D18">
        <v>7.38</v>
      </c>
      <c r="E18">
        <v>164.9</v>
      </c>
      <c r="F18">
        <v>138.4</v>
      </c>
      <c r="G18">
        <v>214</v>
      </c>
      <c r="H18" t="s">
        <v>10</v>
      </c>
    </row>
    <row r="19" spans="1:8" x14ac:dyDescent="0.3">
      <c r="A19" t="s">
        <v>33</v>
      </c>
      <c r="B19" t="s">
        <v>12</v>
      </c>
      <c r="C19">
        <v>6.84</v>
      </c>
      <c r="D19">
        <v>10.98</v>
      </c>
      <c r="E19">
        <v>87</v>
      </c>
      <c r="F19">
        <v>24.6</v>
      </c>
      <c r="G19">
        <v>679.5</v>
      </c>
      <c r="H19" t="s">
        <v>10</v>
      </c>
    </row>
    <row r="20" spans="1:8" x14ac:dyDescent="0.3">
      <c r="A20" t="s">
        <v>34</v>
      </c>
      <c r="B20" t="s">
        <v>22</v>
      </c>
      <c r="C20">
        <v>6.55</v>
      </c>
      <c r="D20">
        <v>7.86</v>
      </c>
      <c r="E20">
        <v>99.2</v>
      </c>
      <c r="F20">
        <v>64.8</v>
      </c>
      <c r="G20">
        <v>229.7</v>
      </c>
      <c r="H20" t="s">
        <v>10</v>
      </c>
    </row>
    <row r="21" spans="1:8" x14ac:dyDescent="0.3">
      <c r="A21" t="s">
        <v>35</v>
      </c>
      <c r="B21" t="s">
        <v>16</v>
      </c>
      <c r="C21">
        <v>7.58</v>
      </c>
      <c r="D21">
        <v>6.18</v>
      </c>
      <c r="E21">
        <v>243</v>
      </c>
      <c r="F21">
        <v>82.8</v>
      </c>
      <c r="G21">
        <v>731.1</v>
      </c>
      <c r="H21" t="s">
        <v>10</v>
      </c>
    </row>
    <row r="22" spans="1:8" x14ac:dyDescent="0.3">
      <c r="A22" t="s">
        <v>36</v>
      </c>
      <c r="B22" t="s">
        <v>22</v>
      </c>
      <c r="C22">
        <v>8.57</v>
      </c>
      <c r="D22">
        <v>9.94</v>
      </c>
      <c r="E22">
        <v>150.9</v>
      </c>
      <c r="F22">
        <v>258.5</v>
      </c>
      <c r="G22">
        <v>374.1</v>
      </c>
      <c r="H22" t="s">
        <v>10</v>
      </c>
    </row>
    <row r="23" spans="1:8" x14ac:dyDescent="0.3">
      <c r="A23" t="s">
        <v>37</v>
      </c>
      <c r="B23" t="s">
        <v>16</v>
      </c>
      <c r="C23">
        <v>6.53</v>
      </c>
      <c r="D23">
        <v>6.2</v>
      </c>
      <c r="E23">
        <v>294.39999999999998</v>
      </c>
      <c r="F23">
        <v>139.80000000000001</v>
      </c>
      <c r="G23">
        <v>1049.7</v>
      </c>
      <c r="H23" t="s">
        <v>10</v>
      </c>
    </row>
    <row r="24" spans="1:8" x14ac:dyDescent="0.3">
      <c r="A24" t="s">
        <v>38</v>
      </c>
      <c r="B24" t="s">
        <v>18</v>
      </c>
      <c r="C24">
        <v>6.98</v>
      </c>
      <c r="D24">
        <v>6.07</v>
      </c>
      <c r="E24">
        <v>288.3</v>
      </c>
      <c r="F24">
        <v>271.60000000000002</v>
      </c>
      <c r="G24">
        <v>927.5</v>
      </c>
      <c r="H24" t="s">
        <v>10</v>
      </c>
    </row>
    <row r="25" spans="1:8" x14ac:dyDescent="0.3">
      <c r="A25" t="s">
        <v>39</v>
      </c>
      <c r="B25" t="s">
        <v>28</v>
      </c>
      <c r="C25">
        <v>6.91</v>
      </c>
      <c r="D25">
        <v>2.12</v>
      </c>
      <c r="E25">
        <v>271.89999999999998</v>
      </c>
      <c r="F25">
        <v>231</v>
      </c>
      <c r="G25">
        <v>457.2</v>
      </c>
      <c r="H25" t="s">
        <v>13</v>
      </c>
    </row>
    <row r="26" spans="1:8" x14ac:dyDescent="0.3">
      <c r="A26" t="s">
        <v>40</v>
      </c>
      <c r="B26" t="s">
        <v>12</v>
      </c>
      <c r="C26">
        <v>7.72</v>
      </c>
      <c r="D26">
        <v>8.26</v>
      </c>
      <c r="E26">
        <v>312.60000000000002</v>
      </c>
      <c r="F26">
        <v>154.30000000000001</v>
      </c>
      <c r="G26">
        <v>379.8</v>
      </c>
      <c r="H26" t="s">
        <v>10</v>
      </c>
    </row>
    <row r="27" spans="1:8" x14ac:dyDescent="0.3">
      <c r="A27" t="s">
        <v>41</v>
      </c>
      <c r="B27" t="s">
        <v>28</v>
      </c>
      <c r="C27">
        <v>7.24</v>
      </c>
      <c r="D27">
        <v>4.58</v>
      </c>
      <c r="E27">
        <v>110.5</v>
      </c>
      <c r="F27">
        <v>252.3</v>
      </c>
      <c r="G27">
        <v>547.9</v>
      </c>
      <c r="H27" t="s">
        <v>10</v>
      </c>
    </row>
    <row r="28" spans="1:8" x14ac:dyDescent="0.3">
      <c r="A28" t="s">
        <v>42</v>
      </c>
      <c r="B28" t="s">
        <v>28</v>
      </c>
      <c r="C28">
        <v>7.94</v>
      </c>
      <c r="D28">
        <v>4.8499999999999996</v>
      </c>
      <c r="E28">
        <v>192.3</v>
      </c>
      <c r="F28">
        <v>254</v>
      </c>
      <c r="G28">
        <v>188.3</v>
      </c>
      <c r="H28" t="s">
        <v>10</v>
      </c>
    </row>
    <row r="29" spans="1:8" x14ac:dyDescent="0.3">
      <c r="A29" t="s">
        <v>43</v>
      </c>
      <c r="B29" t="s">
        <v>18</v>
      </c>
      <c r="C29">
        <v>8.51</v>
      </c>
      <c r="D29">
        <v>8.93</v>
      </c>
      <c r="E29">
        <v>316.10000000000002</v>
      </c>
      <c r="F29">
        <v>65.599999999999994</v>
      </c>
      <c r="G29">
        <v>822.2</v>
      </c>
      <c r="H29" t="s">
        <v>10</v>
      </c>
    </row>
    <row r="30" spans="1:8" x14ac:dyDescent="0.3">
      <c r="A30" t="s">
        <v>44</v>
      </c>
      <c r="B30" t="s">
        <v>22</v>
      </c>
      <c r="C30">
        <v>6.04</v>
      </c>
      <c r="D30">
        <v>9.11</v>
      </c>
      <c r="E30">
        <v>302.10000000000002</v>
      </c>
      <c r="F30">
        <v>200.8</v>
      </c>
      <c r="G30">
        <v>153.69999999999999</v>
      </c>
      <c r="H30" t="s">
        <v>10</v>
      </c>
    </row>
    <row r="31" spans="1:8" x14ac:dyDescent="0.3">
      <c r="A31" t="s">
        <v>45</v>
      </c>
      <c r="B31" t="s">
        <v>16</v>
      </c>
      <c r="C31">
        <v>7.17</v>
      </c>
      <c r="D31">
        <v>3.74</v>
      </c>
      <c r="E31">
        <v>317.60000000000002</v>
      </c>
      <c r="F31">
        <v>131.30000000000001</v>
      </c>
      <c r="G31">
        <v>1115.3</v>
      </c>
      <c r="H31" t="s">
        <v>13</v>
      </c>
    </row>
    <row r="32" spans="1:8" x14ac:dyDescent="0.3">
      <c r="A32" t="s">
        <v>46</v>
      </c>
      <c r="B32" t="s">
        <v>16</v>
      </c>
      <c r="C32">
        <v>7.11</v>
      </c>
      <c r="D32">
        <v>2.97</v>
      </c>
      <c r="E32">
        <v>311.8</v>
      </c>
      <c r="F32">
        <v>259.60000000000002</v>
      </c>
      <c r="G32">
        <v>202.1</v>
      </c>
      <c r="H32" t="s">
        <v>10</v>
      </c>
    </row>
    <row r="33" spans="1:8" x14ac:dyDescent="0.3">
      <c r="A33" t="s">
        <v>47</v>
      </c>
      <c r="B33" t="s">
        <v>12</v>
      </c>
      <c r="C33">
        <v>8.61</v>
      </c>
      <c r="D33">
        <v>3.75</v>
      </c>
      <c r="E33">
        <v>81.099999999999994</v>
      </c>
      <c r="F33">
        <v>52</v>
      </c>
      <c r="G33">
        <v>770.1</v>
      </c>
      <c r="H33" t="s">
        <v>10</v>
      </c>
    </row>
    <row r="34" spans="1:8" x14ac:dyDescent="0.3">
      <c r="A34" t="s">
        <v>48</v>
      </c>
      <c r="B34" t="s">
        <v>9</v>
      </c>
      <c r="C34">
        <v>8.11</v>
      </c>
      <c r="D34">
        <v>9.2200000000000006</v>
      </c>
      <c r="E34">
        <v>319</v>
      </c>
      <c r="F34">
        <v>112.3</v>
      </c>
      <c r="G34">
        <v>267.60000000000002</v>
      </c>
      <c r="H34" t="s">
        <v>10</v>
      </c>
    </row>
    <row r="35" spans="1:8" x14ac:dyDescent="0.3">
      <c r="A35" t="s">
        <v>49</v>
      </c>
      <c r="B35" t="s">
        <v>9</v>
      </c>
      <c r="C35">
        <v>8.43</v>
      </c>
      <c r="D35">
        <v>6.34</v>
      </c>
      <c r="E35">
        <v>132.9</v>
      </c>
      <c r="F35">
        <v>144.19999999999999</v>
      </c>
      <c r="G35">
        <v>877</v>
      </c>
      <c r="H35" t="s">
        <v>10</v>
      </c>
    </row>
    <row r="36" spans="1:8" x14ac:dyDescent="0.3">
      <c r="A36" t="s">
        <v>50</v>
      </c>
      <c r="B36" t="s">
        <v>12</v>
      </c>
      <c r="C36">
        <v>7.96</v>
      </c>
      <c r="D36">
        <v>4</v>
      </c>
      <c r="E36">
        <v>316.39999999999998</v>
      </c>
      <c r="F36">
        <v>97.5</v>
      </c>
      <c r="G36">
        <v>513.70000000000005</v>
      </c>
      <c r="H36" t="s">
        <v>13</v>
      </c>
    </row>
    <row r="37" spans="1:8" x14ac:dyDescent="0.3">
      <c r="A37" t="s">
        <v>51</v>
      </c>
      <c r="B37" t="s">
        <v>18</v>
      </c>
      <c r="C37">
        <v>6.75</v>
      </c>
      <c r="D37">
        <v>7.6</v>
      </c>
      <c r="E37">
        <v>278.7</v>
      </c>
      <c r="F37">
        <v>139.9</v>
      </c>
      <c r="G37">
        <v>997.5</v>
      </c>
      <c r="H37" t="s">
        <v>10</v>
      </c>
    </row>
    <row r="38" spans="1:8" x14ac:dyDescent="0.3">
      <c r="A38" t="s">
        <v>52</v>
      </c>
      <c r="B38" t="s">
        <v>9</v>
      </c>
      <c r="C38">
        <v>6.06</v>
      </c>
      <c r="D38">
        <v>8.8800000000000008</v>
      </c>
      <c r="E38">
        <v>294.7</v>
      </c>
      <c r="F38">
        <v>107.6</v>
      </c>
      <c r="G38">
        <v>975.8</v>
      </c>
      <c r="H38" t="s">
        <v>10</v>
      </c>
    </row>
    <row r="39" spans="1:8" x14ac:dyDescent="0.3">
      <c r="A39" t="s">
        <v>53</v>
      </c>
      <c r="B39" t="s">
        <v>28</v>
      </c>
      <c r="C39">
        <v>7.64</v>
      </c>
      <c r="D39">
        <v>3.66</v>
      </c>
      <c r="E39">
        <v>167.4</v>
      </c>
      <c r="F39">
        <v>156.5</v>
      </c>
      <c r="G39">
        <v>552.1</v>
      </c>
      <c r="H39" t="s">
        <v>13</v>
      </c>
    </row>
    <row r="40" spans="1:8" x14ac:dyDescent="0.3">
      <c r="A40" t="s">
        <v>54</v>
      </c>
      <c r="B40" t="s">
        <v>28</v>
      </c>
      <c r="C40">
        <v>6.69</v>
      </c>
      <c r="D40">
        <v>9.2200000000000006</v>
      </c>
      <c r="E40">
        <v>264.2</v>
      </c>
      <c r="F40">
        <v>14.9</v>
      </c>
      <c r="G40">
        <v>981.1</v>
      </c>
      <c r="H40" t="s">
        <v>10</v>
      </c>
    </row>
    <row r="41" spans="1:8" x14ac:dyDescent="0.3">
      <c r="A41" t="s">
        <v>55</v>
      </c>
      <c r="B41" t="s">
        <v>16</v>
      </c>
      <c r="C41">
        <v>8.41</v>
      </c>
      <c r="D41">
        <v>1.07</v>
      </c>
      <c r="E41">
        <v>264.3</v>
      </c>
      <c r="F41">
        <v>190.3</v>
      </c>
      <c r="G41">
        <v>578.5</v>
      </c>
      <c r="H41" t="s">
        <v>13</v>
      </c>
    </row>
    <row r="42" spans="1:8" x14ac:dyDescent="0.3">
      <c r="A42" t="s">
        <v>56</v>
      </c>
      <c r="B42" t="s">
        <v>9</v>
      </c>
      <c r="C42">
        <v>7.06</v>
      </c>
      <c r="D42">
        <v>1.1399999999999999</v>
      </c>
      <c r="E42">
        <v>146.69999999999999</v>
      </c>
      <c r="F42">
        <v>222.7</v>
      </c>
      <c r="G42">
        <v>296.3</v>
      </c>
      <c r="H42" t="s">
        <v>13</v>
      </c>
    </row>
    <row r="43" spans="1:8" x14ac:dyDescent="0.3">
      <c r="A43" t="s">
        <v>57</v>
      </c>
      <c r="B43" t="s">
        <v>22</v>
      </c>
      <c r="C43">
        <v>7.96</v>
      </c>
      <c r="D43">
        <v>6.04</v>
      </c>
      <c r="E43">
        <v>278</v>
      </c>
      <c r="F43">
        <v>95.4</v>
      </c>
      <c r="G43">
        <v>535.1</v>
      </c>
      <c r="H43" t="s">
        <v>10</v>
      </c>
    </row>
    <row r="44" spans="1:8" x14ac:dyDescent="0.3">
      <c r="A44" t="s">
        <v>58</v>
      </c>
      <c r="B44" t="s">
        <v>18</v>
      </c>
      <c r="C44">
        <v>7.46</v>
      </c>
      <c r="D44">
        <v>0.99</v>
      </c>
      <c r="E44">
        <v>183.7</v>
      </c>
      <c r="F44">
        <v>76.400000000000006</v>
      </c>
      <c r="G44">
        <v>152.5</v>
      </c>
      <c r="H44" t="s">
        <v>13</v>
      </c>
    </row>
    <row r="45" spans="1:8" x14ac:dyDescent="0.3">
      <c r="A45" t="s">
        <v>59</v>
      </c>
      <c r="B45" t="s">
        <v>22</v>
      </c>
      <c r="C45">
        <v>8.7799999999999994</v>
      </c>
      <c r="D45">
        <v>10.49</v>
      </c>
      <c r="E45">
        <v>121.8</v>
      </c>
      <c r="F45">
        <v>159.4</v>
      </c>
      <c r="G45">
        <v>566.29999999999995</v>
      </c>
      <c r="H45" t="s">
        <v>10</v>
      </c>
    </row>
    <row r="46" spans="1:8" x14ac:dyDescent="0.3">
      <c r="A46" t="s">
        <v>60</v>
      </c>
      <c r="B46" t="s">
        <v>16</v>
      </c>
      <c r="C46">
        <v>7.11</v>
      </c>
      <c r="D46">
        <v>5.45</v>
      </c>
      <c r="E46">
        <v>195.1</v>
      </c>
      <c r="F46">
        <v>71.8</v>
      </c>
      <c r="G46">
        <v>207.9</v>
      </c>
      <c r="H46" t="s">
        <v>10</v>
      </c>
    </row>
    <row r="47" spans="1:8" x14ac:dyDescent="0.3">
      <c r="A47" t="s">
        <v>61</v>
      </c>
      <c r="B47" t="s">
        <v>22</v>
      </c>
      <c r="C47">
        <v>7.34</v>
      </c>
      <c r="D47">
        <v>8.24</v>
      </c>
      <c r="E47">
        <v>146.69999999999999</v>
      </c>
      <c r="F47">
        <v>117.9</v>
      </c>
      <c r="G47">
        <v>956.1</v>
      </c>
      <c r="H47" t="s">
        <v>10</v>
      </c>
    </row>
    <row r="48" spans="1:8" x14ac:dyDescent="0.3">
      <c r="A48" t="s">
        <v>62</v>
      </c>
      <c r="B48" t="s">
        <v>12</v>
      </c>
      <c r="C48">
        <v>6.34</v>
      </c>
      <c r="D48">
        <v>7.97</v>
      </c>
      <c r="E48">
        <v>261.10000000000002</v>
      </c>
      <c r="F48">
        <v>33.299999999999997</v>
      </c>
      <c r="G48">
        <v>1192.0999999999999</v>
      </c>
      <c r="H48" t="s">
        <v>10</v>
      </c>
    </row>
    <row r="49" spans="1:8" x14ac:dyDescent="0.3">
      <c r="A49" t="s">
        <v>63</v>
      </c>
      <c r="B49" t="s">
        <v>28</v>
      </c>
      <c r="C49">
        <v>7.85</v>
      </c>
      <c r="D49">
        <v>0.89</v>
      </c>
      <c r="E49">
        <v>175.3</v>
      </c>
      <c r="F49">
        <v>193.7</v>
      </c>
      <c r="G49">
        <v>803</v>
      </c>
      <c r="H49" t="s">
        <v>13</v>
      </c>
    </row>
    <row r="50" spans="1:8" x14ac:dyDescent="0.3">
      <c r="A50" t="s">
        <v>64</v>
      </c>
      <c r="B50" t="s">
        <v>28</v>
      </c>
      <c r="C50">
        <v>7.77</v>
      </c>
      <c r="D50">
        <v>11.77</v>
      </c>
      <c r="E50">
        <v>119.7</v>
      </c>
      <c r="F50">
        <v>220.5</v>
      </c>
      <c r="G50">
        <v>1083</v>
      </c>
      <c r="H50" t="s">
        <v>10</v>
      </c>
    </row>
    <row r="51" spans="1:8" x14ac:dyDescent="0.3">
      <c r="A51" t="s">
        <v>65</v>
      </c>
      <c r="B51" t="s">
        <v>12</v>
      </c>
      <c r="C51">
        <v>8.0299999999999994</v>
      </c>
      <c r="D51">
        <v>4.6100000000000003</v>
      </c>
      <c r="E51">
        <v>92.1</v>
      </c>
      <c r="F51">
        <v>124.1</v>
      </c>
      <c r="G51">
        <v>448.8</v>
      </c>
      <c r="H51" t="s">
        <v>13</v>
      </c>
    </row>
    <row r="52" spans="1:8" x14ac:dyDescent="0.3">
      <c r="A52" t="s">
        <v>66</v>
      </c>
      <c r="B52" t="s">
        <v>28</v>
      </c>
      <c r="C52">
        <v>7.85</v>
      </c>
      <c r="D52">
        <v>8.98</v>
      </c>
      <c r="E52">
        <v>129.80000000000001</v>
      </c>
      <c r="F52">
        <v>182.9</v>
      </c>
      <c r="G52">
        <v>550.20000000000005</v>
      </c>
      <c r="H52" t="s">
        <v>10</v>
      </c>
    </row>
    <row r="53" spans="1:8" x14ac:dyDescent="0.3">
      <c r="A53" t="s">
        <v>67</v>
      </c>
      <c r="B53" t="s">
        <v>22</v>
      </c>
      <c r="C53">
        <v>6.58</v>
      </c>
      <c r="D53">
        <v>8.7100000000000009</v>
      </c>
      <c r="E53">
        <v>248.5</v>
      </c>
      <c r="F53">
        <v>263.3</v>
      </c>
      <c r="G53">
        <v>297.10000000000002</v>
      </c>
      <c r="H53" t="s">
        <v>10</v>
      </c>
    </row>
    <row r="54" spans="1:8" x14ac:dyDescent="0.3">
      <c r="A54" t="s">
        <v>68</v>
      </c>
      <c r="B54" t="s">
        <v>22</v>
      </c>
      <c r="C54">
        <v>6.34</v>
      </c>
      <c r="D54">
        <v>10.67</v>
      </c>
      <c r="E54">
        <v>235.8</v>
      </c>
      <c r="F54">
        <v>224.4</v>
      </c>
      <c r="G54">
        <v>688.7</v>
      </c>
      <c r="H54" t="s">
        <v>10</v>
      </c>
    </row>
    <row r="55" spans="1:8" x14ac:dyDescent="0.3">
      <c r="A55" t="s">
        <v>69</v>
      </c>
      <c r="B55" t="s">
        <v>16</v>
      </c>
      <c r="C55">
        <v>6.17</v>
      </c>
      <c r="D55">
        <v>0.72</v>
      </c>
      <c r="E55">
        <v>115.1</v>
      </c>
      <c r="F55">
        <v>139.80000000000001</v>
      </c>
      <c r="G55">
        <v>1154.7</v>
      </c>
      <c r="H55" t="s">
        <v>10</v>
      </c>
    </row>
    <row r="56" spans="1:8" x14ac:dyDescent="0.3">
      <c r="A56" t="s">
        <v>70</v>
      </c>
      <c r="B56" t="s">
        <v>9</v>
      </c>
      <c r="C56">
        <v>6.81</v>
      </c>
      <c r="D56">
        <v>3.78</v>
      </c>
      <c r="E56">
        <v>97.3</v>
      </c>
      <c r="F56">
        <v>86.4</v>
      </c>
      <c r="G56">
        <v>609.29999999999995</v>
      </c>
      <c r="H56" t="s">
        <v>13</v>
      </c>
    </row>
    <row r="57" spans="1:8" x14ac:dyDescent="0.3">
      <c r="A57" t="s">
        <v>71</v>
      </c>
      <c r="B57" t="s">
        <v>9</v>
      </c>
      <c r="C57">
        <v>7.4</v>
      </c>
      <c r="D57">
        <v>6.11</v>
      </c>
      <c r="E57">
        <v>96.4</v>
      </c>
      <c r="F57">
        <v>89.1</v>
      </c>
      <c r="G57">
        <v>371.5</v>
      </c>
      <c r="H57" t="s">
        <v>10</v>
      </c>
    </row>
    <row r="58" spans="1:8" x14ac:dyDescent="0.3">
      <c r="A58" t="s">
        <v>72</v>
      </c>
      <c r="B58" t="s">
        <v>9</v>
      </c>
      <c r="C58">
        <v>8.11</v>
      </c>
      <c r="D58">
        <v>9.5500000000000007</v>
      </c>
      <c r="E58">
        <v>301.5</v>
      </c>
      <c r="F58">
        <v>179.1</v>
      </c>
      <c r="G58">
        <v>627.4</v>
      </c>
      <c r="H58" t="s">
        <v>10</v>
      </c>
    </row>
    <row r="59" spans="1:8" x14ac:dyDescent="0.3">
      <c r="A59" t="s">
        <v>73</v>
      </c>
      <c r="B59" t="s">
        <v>18</v>
      </c>
      <c r="C59">
        <v>7.08</v>
      </c>
      <c r="D59">
        <v>6.24</v>
      </c>
      <c r="E59">
        <v>91.9</v>
      </c>
      <c r="F59">
        <v>173.6</v>
      </c>
      <c r="G59">
        <v>202.9</v>
      </c>
      <c r="H59" t="s">
        <v>10</v>
      </c>
    </row>
    <row r="60" spans="1:8" x14ac:dyDescent="0.3">
      <c r="A60" t="s">
        <v>74</v>
      </c>
      <c r="B60" t="s">
        <v>9</v>
      </c>
      <c r="C60">
        <v>7.24</v>
      </c>
      <c r="D60">
        <v>6.74</v>
      </c>
      <c r="E60">
        <v>297.5</v>
      </c>
      <c r="F60">
        <v>128.5</v>
      </c>
      <c r="G60">
        <v>598.4</v>
      </c>
      <c r="H60" t="s">
        <v>10</v>
      </c>
    </row>
    <row r="61" spans="1:8" x14ac:dyDescent="0.3">
      <c r="A61" t="s">
        <v>75</v>
      </c>
      <c r="B61" t="s">
        <v>9</v>
      </c>
      <c r="C61">
        <v>6.66</v>
      </c>
      <c r="D61">
        <v>1.27</v>
      </c>
      <c r="E61">
        <v>122.1</v>
      </c>
      <c r="F61">
        <v>163.30000000000001</v>
      </c>
      <c r="G61">
        <v>665.1</v>
      </c>
      <c r="H61" t="s">
        <v>13</v>
      </c>
    </row>
    <row r="62" spans="1:8" x14ac:dyDescent="0.3">
      <c r="A62" t="s">
        <v>76</v>
      </c>
      <c r="B62" t="s">
        <v>9</v>
      </c>
      <c r="C62">
        <v>8.34</v>
      </c>
      <c r="D62">
        <v>8.8800000000000008</v>
      </c>
      <c r="E62">
        <v>117.6</v>
      </c>
      <c r="F62">
        <v>169</v>
      </c>
      <c r="G62">
        <v>724.8</v>
      </c>
      <c r="H62" t="s">
        <v>10</v>
      </c>
    </row>
    <row r="63" spans="1:8" x14ac:dyDescent="0.3">
      <c r="A63" t="s">
        <v>77</v>
      </c>
      <c r="B63" t="s">
        <v>22</v>
      </c>
      <c r="C63">
        <v>6.64</v>
      </c>
      <c r="D63">
        <v>3.76</v>
      </c>
      <c r="E63">
        <v>252.4</v>
      </c>
      <c r="F63">
        <v>179</v>
      </c>
      <c r="G63">
        <v>295.7</v>
      </c>
      <c r="H63" t="s">
        <v>13</v>
      </c>
    </row>
    <row r="64" spans="1:8" x14ac:dyDescent="0.3">
      <c r="A64" t="s">
        <v>78</v>
      </c>
      <c r="B64" t="s">
        <v>9</v>
      </c>
      <c r="C64">
        <v>7.31</v>
      </c>
      <c r="D64">
        <v>6.46</v>
      </c>
      <c r="E64">
        <v>156.69999999999999</v>
      </c>
      <c r="F64">
        <v>133</v>
      </c>
      <c r="G64">
        <v>1001.5</v>
      </c>
      <c r="H64" t="s">
        <v>10</v>
      </c>
    </row>
    <row r="65" spans="1:8" x14ac:dyDescent="0.3">
      <c r="A65" t="s">
        <v>79</v>
      </c>
      <c r="B65" t="s">
        <v>28</v>
      </c>
      <c r="C65">
        <v>8.3800000000000008</v>
      </c>
      <c r="D65">
        <v>7.94</v>
      </c>
      <c r="E65">
        <v>291.5</v>
      </c>
      <c r="F65">
        <v>38.799999999999997</v>
      </c>
      <c r="G65">
        <v>839.1</v>
      </c>
      <c r="H65" t="s">
        <v>10</v>
      </c>
    </row>
    <row r="66" spans="1:8" x14ac:dyDescent="0.3">
      <c r="A66" t="s">
        <v>80</v>
      </c>
      <c r="B66" t="s">
        <v>22</v>
      </c>
      <c r="C66">
        <v>7.88</v>
      </c>
      <c r="D66">
        <v>2.92</v>
      </c>
      <c r="E66">
        <v>218.3</v>
      </c>
      <c r="F66">
        <v>201.8</v>
      </c>
      <c r="G66">
        <v>924</v>
      </c>
      <c r="H66" t="s">
        <v>13</v>
      </c>
    </row>
    <row r="67" spans="1:8" x14ac:dyDescent="0.3">
      <c r="A67" t="s">
        <v>81</v>
      </c>
      <c r="B67" t="s">
        <v>16</v>
      </c>
      <c r="C67">
        <v>7.19</v>
      </c>
      <c r="D67">
        <v>4.25</v>
      </c>
      <c r="E67">
        <v>214.4</v>
      </c>
      <c r="F67">
        <v>245.8</v>
      </c>
      <c r="G67">
        <v>820.2</v>
      </c>
      <c r="H67" t="s">
        <v>13</v>
      </c>
    </row>
    <row r="68" spans="1:8" x14ac:dyDescent="0.3">
      <c r="A68" t="s">
        <v>82</v>
      </c>
      <c r="B68" t="s">
        <v>9</v>
      </c>
      <c r="C68">
        <v>7.71</v>
      </c>
      <c r="D68">
        <v>3.61</v>
      </c>
      <c r="E68">
        <v>266.89999999999998</v>
      </c>
      <c r="F68">
        <v>16.100000000000001</v>
      </c>
      <c r="G68">
        <v>734.1</v>
      </c>
      <c r="H68" t="s">
        <v>13</v>
      </c>
    </row>
    <row r="69" spans="1:8" x14ac:dyDescent="0.3">
      <c r="A69" t="s">
        <v>83</v>
      </c>
      <c r="B69" t="s">
        <v>12</v>
      </c>
      <c r="C69">
        <v>8.25</v>
      </c>
      <c r="D69">
        <v>6.15</v>
      </c>
      <c r="E69">
        <v>302.10000000000002</v>
      </c>
      <c r="F69">
        <v>45.2</v>
      </c>
      <c r="G69">
        <v>887.3</v>
      </c>
      <c r="H69" t="s">
        <v>10</v>
      </c>
    </row>
    <row r="70" spans="1:8" x14ac:dyDescent="0.3">
      <c r="A70" t="s">
        <v>84</v>
      </c>
      <c r="B70" t="s">
        <v>28</v>
      </c>
      <c r="C70">
        <v>8.34</v>
      </c>
      <c r="D70">
        <v>5.89</v>
      </c>
      <c r="E70">
        <v>147.4</v>
      </c>
      <c r="F70">
        <v>193.5</v>
      </c>
      <c r="G70">
        <v>885.3</v>
      </c>
      <c r="H70" t="s">
        <v>10</v>
      </c>
    </row>
    <row r="71" spans="1:8" x14ac:dyDescent="0.3">
      <c r="A71" t="s">
        <v>85</v>
      </c>
      <c r="B71" t="s">
        <v>12</v>
      </c>
      <c r="C71">
        <v>8.32</v>
      </c>
      <c r="D71">
        <v>10.43</v>
      </c>
      <c r="E71">
        <v>303.5</v>
      </c>
      <c r="F71">
        <v>165</v>
      </c>
      <c r="G71">
        <v>713.4</v>
      </c>
      <c r="H71" t="s">
        <v>10</v>
      </c>
    </row>
    <row r="72" spans="1:8" x14ac:dyDescent="0.3">
      <c r="A72" t="s">
        <v>86</v>
      </c>
      <c r="B72" t="s">
        <v>9</v>
      </c>
      <c r="C72">
        <v>6.44</v>
      </c>
      <c r="D72">
        <v>7.92</v>
      </c>
      <c r="E72">
        <v>160.80000000000001</v>
      </c>
      <c r="F72">
        <v>159.69999999999999</v>
      </c>
      <c r="G72">
        <v>1113.7</v>
      </c>
      <c r="H72" t="s">
        <v>10</v>
      </c>
    </row>
    <row r="73" spans="1:8" x14ac:dyDescent="0.3">
      <c r="A73" t="s">
        <v>87</v>
      </c>
      <c r="B73" t="s">
        <v>9</v>
      </c>
      <c r="C73">
        <v>6.98</v>
      </c>
      <c r="D73">
        <v>6.5</v>
      </c>
      <c r="E73">
        <v>129.19999999999999</v>
      </c>
      <c r="F73">
        <v>220.7</v>
      </c>
      <c r="G73">
        <v>627.4</v>
      </c>
      <c r="H73" t="s">
        <v>10</v>
      </c>
    </row>
    <row r="74" spans="1:8" x14ac:dyDescent="0.3">
      <c r="A74" t="s">
        <v>88</v>
      </c>
      <c r="B74" t="s">
        <v>22</v>
      </c>
      <c r="C74">
        <v>8.4700000000000006</v>
      </c>
      <c r="D74">
        <v>9.59</v>
      </c>
      <c r="E74">
        <v>318.10000000000002</v>
      </c>
      <c r="F74">
        <v>221.1</v>
      </c>
      <c r="G74">
        <v>491.8</v>
      </c>
      <c r="H74" t="s">
        <v>10</v>
      </c>
    </row>
    <row r="75" spans="1:8" x14ac:dyDescent="0.3">
      <c r="A75" t="s">
        <v>89</v>
      </c>
      <c r="B75" t="s">
        <v>18</v>
      </c>
      <c r="C75">
        <v>6.61</v>
      </c>
      <c r="D75">
        <v>11.93</v>
      </c>
      <c r="E75">
        <v>180.4</v>
      </c>
      <c r="F75">
        <v>34</v>
      </c>
      <c r="G75">
        <v>391.3</v>
      </c>
      <c r="H75" t="s">
        <v>10</v>
      </c>
    </row>
    <row r="76" spans="1:8" x14ac:dyDescent="0.3">
      <c r="A76" t="s">
        <v>90</v>
      </c>
      <c r="B76" t="s">
        <v>12</v>
      </c>
      <c r="C76">
        <v>7.73</v>
      </c>
      <c r="D76">
        <v>5.84</v>
      </c>
      <c r="E76">
        <v>277.5</v>
      </c>
      <c r="F76">
        <v>78.7</v>
      </c>
      <c r="G76">
        <v>675</v>
      </c>
      <c r="H76" t="s">
        <v>10</v>
      </c>
    </row>
    <row r="77" spans="1:8" x14ac:dyDescent="0.3">
      <c r="A77" t="s">
        <v>91</v>
      </c>
      <c r="B77" t="s">
        <v>12</v>
      </c>
      <c r="C77">
        <v>8.18</v>
      </c>
      <c r="D77">
        <v>0.5</v>
      </c>
      <c r="E77">
        <v>294.89999999999998</v>
      </c>
      <c r="F77">
        <v>105.2</v>
      </c>
      <c r="G77">
        <v>826.8</v>
      </c>
      <c r="H77" t="s">
        <v>13</v>
      </c>
    </row>
    <row r="78" spans="1:8" x14ac:dyDescent="0.3">
      <c r="A78" t="s">
        <v>92</v>
      </c>
      <c r="B78" t="s">
        <v>22</v>
      </c>
      <c r="C78">
        <v>7.76</v>
      </c>
      <c r="D78">
        <v>10.94</v>
      </c>
      <c r="E78">
        <v>96.8</v>
      </c>
      <c r="F78">
        <v>180.3</v>
      </c>
      <c r="G78">
        <v>202.5</v>
      </c>
      <c r="H78" t="s">
        <v>10</v>
      </c>
    </row>
    <row r="79" spans="1:8" x14ac:dyDescent="0.3">
      <c r="A79" t="s">
        <v>93</v>
      </c>
      <c r="B79" t="s">
        <v>22</v>
      </c>
      <c r="C79">
        <v>7.74</v>
      </c>
      <c r="D79">
        <v>6.61</v>
      </c>
      <c r="E79">
        <v>279.89999999999998</v>
      </c>
      <c r="F79">
        <v>195.9</v>
      </c>
      <c r="G79">
        <v>912.7</v>
      </c>
      <c r="H79" t="s">
        <v>10</v>
      </c>
    </row>
    <row r="80" spans="1:8" x14ac:dyDescent="0.3">
      <c r="A80" t="s">
        <v>94</v>
      </c>
      <c r="B80" t="s">
        <v>22</v>
      </c>
      <c r="C80">
        <v>8.08</v>
      </c>
      <c r="D80">
        <v>5.53</v>
      </c>
      <c r="E80">
        <v>116.6</v>
      </c>
      <c r="F80">
        <v>27.5</v>
      </c>
      <c r="G80">
        <v>892.1</v>
      </c>
      <c r="H80" t="s">
        <v>10</v>
      </c>
    </row>
    <row r="81" spans="1:8" x14ac:dyDescent="0.3">
      <c r="A81" t="s">
        <v>95</v>
      </c>
      <c r="B81" t="s">
        <v>12</v>
      </c>
      <c r="C81">
        <v>7.08</v>
      </c>
      <c r="D81">
        <v>2.64</v>
      </c>
      <c r="E81">
        <v>81.3</v>
      </c>
      <c r="F81">
        <v>33.200000000000003</v>
      </c>
      <c r="G81">
        <v>843.4</v>
      </c>
      <c r="H81" t="s">
        <v>13</v>
      </c>
    </row>
    <row r="82" spans="1:8" x14ac:dyDescent="0.3">
      <c r="A82" t="s">
        <v>96</v>
      </c>
      <c r="B82" t="s">
        <v>12</v>
      </c>
      <c r="C82">
        <v>7.37</v>
      </c>
      <c r="D82">
        <v>10.33</v>
      </c>
      <c r="E82">
        <v>167.2</v>
      </c>
      <c r="F82">
        <v>44.6</v>
      </c>
      <c r="G82">
        <v>248.1</v>
      </c>
      <c r="H82" t="s">
        <v>10</v>
      </c>
    </row>
    <row r="83" spans="1:8" x14ac:dyDescent="0.3">
      <c r="A83" t="s">
        <v>97</v>
      </c>
      <c r="B83" t="s">
        <v>16</v>
      </c>
      <c r="C83">
        <v>6.39</v>
      </c>
      <c r="D83">
        <v>11.71</v>
      </c>
      <c r="E83">
        <v>168.2</v>
      </c>
      <c r="F83">
        <v>172.5</v>
      </c>
      <c r="G83">
        <v>1091</v>
      </c>
      <c r="H83" t="s">
        <v>10</v>
      </c>
    </row>
    <row r="84" spans="1:8" x14ac:dyDescent="0.3">
      <c r="A84" t="s">
        <v>98</v>
      </c>
      <c r="B84" t="s">
        <v>28</v>
      </c>
      <c r="C84">
        <v>7.34</v>
      </c>
      <c r="D84">
        <v>5.08</v>
      </c>
      <c r="E84">
        <v>151.30000000000001</v>
      </c>
      <c r="F84">
        <v>155.6</v>
      </c>
      <c r="G84">
        <v>1097.0999999999999</v>
      </c>
      <c r="H84" t="s">
        <v>10</v>
      </c>
    </row>
    <row r="85" spans="1:8" x14ac:dyDescent="0.3">
      <c r="A85" t="s">
        <v>99</v>
      </c>
      <c r="B85" t="s">
        <v>9</v>
      </c>
      <c r="C85">
        <v>7.56</v>
      </c>
      <c r="D85">
        <v>2.76</v>
      </c>
      <c r="E85">
        <v>117.4</v>
      </c>
      <c r="F85">
        <v>53.5</v>
      </c>
      <c r="G85">
        <v>287.39999999999998</v>
      </c>
      <c r="H85" t="s">
        <v>13</v>
      </c>
    </row>
    <row r="86" spans="1:8" x14ac:dyDescent="0.3">
      <c r="A86" t="s">
        <v>100</v>
      </c>
      <c r="B86" t="s">
        <v>22</v>
      </c>
      <c r="C86">
        <v>7.03</v>
      </c>
      <c r="D86">
        <v>5.62</v>
      </c>
      <c r="E86">
        <v>245.7</v>
      </c>
      <c r="F86">
        <v>207.1</v>
      </c>
      <c r="G86">
        <v>1008.5</v>
      </c>
      <c r="H86" t="s">
        <v>10</v>
      </c>
    </row>
    <row r="87" spans="1:8" x14ac:dyDescent="0.3">
      <c r="A87" t="s">
        <v>101</v>
      </c>
      <c r="B87" t="s">
        <v>18</v>
      </c>
      <c r="C87">
        <v>8.2100000000000009</v>
      </c>
      <c r="D87">
        <v>0.9</v>
      </c>
      <c r="E87">
        <v>101.9</v>
      </c>
      <c r="F87">
        <v>180</v>
      </c>
      <c r="G87">
        <v>662.3</v>
      </c>
      <c r="H87" t="s">
        <v>13</v>
      </c>
    </row>
    <row r="88" spans="1:8" x14ac:dyDescent="0.3">
      <c r="A88" t="s">
        <v>102</v>
      </c>
      <c r="B88" t="s">
        <v>18</v>
      </c>
      <c r="C88">
        <v>6.85</v>
      </c>
      <c r="D88">
        <v>7.89</v>
      </c>
      <c r="E88">
        <v>166.2</v>
      </c>
      <c r="F88">
        <v>226.6</v>
      </c>
      <c r="G88">
        <v>328</v>
      </c>
      <c r="H88" t="s">
        <v>10</v>
      </c>
    </row>
    <row r="89" spans="1:8" x14ac:dyDescent="0.3">
      <c r="A89" t="s">
        <v>103</v>
      </c>
      <c r="B89" t="s">
        <v>22</v>
      </c>
      <c r="C89">
        <v>7.03</v>
      </c>
      <c r="D89">
        <v>1.17</v>
      </c>
      <c r="E89">
        <v>110</v>
      </c>
      <c r="F89">
        <v>207.7</v>
      </c>
      <c r="G89">
        <v>723.6</v>
      </c>
      <c r="H89" t="s">
        <v>13</v>
      </c>
    </row>
    <row r="90" spans="1:8" x14ac:dyDescent="0.3">
      <c r="A90" t="s">
        <v>104</v>
      </c>
      <c r="B90" t="s">
        <v>9</v>
      </c>
      <c r="C90">
        <v>7.34</v>
      </c>
      <c r="D90">
        <v>6.32</v>
      </c>
      <c r="E90">
        <v>195.5</v>
      </c>
      <c r="F90">
        <v>47.7</v>
      </c>
      <c r="G90">
        <v>602.4</v>
      </c>
      <c r="H90" t="s">
        <v>10</v>
      </c>
    </row>
    <row r="91" spans="1:8" x14ac:dyDescent="0.3">
      <c r="A91" t="s">
        <v>105</v>
      </c>
      <c r="B91" t="s">
        <v>12</v>
      </c>
      <c r="C91">
        <v>6.89</v>
      </c>
      <c r="D91">
        <v>6.85</v>
      </c>
      <c r="E91">
        <v>216.3</v>
      </c>
      <c r="F91">
        <v>21.5</v>
      </c>
      <c r="G91">
        <v>952.2</v>
      </c>
      <c r="H91" t="s">
        <v>10</v>
      </c>
    </row>
    <row r="92" spans="1:8" x14ac:dyDescent="0.3">
      <c r="A92" t="s">
        <v>106</v>
      </c>
      <c r="B92" t="s">
        <v>9</v>
      </c>
      <c r="C92">
        <v>7.61</v>
      </c>
      <c r="D92">
        <v>11.16</v>
      </c>
      <c r="E92">
        <v>246.8</v>
      </c>
      <c r="F92">
        <v>132.5</v>
      </c>
      <c r="G92">
        <v>519.79999999999995</v>
      </c>
      <c r="H92" t="s">
        <v>10</v>
      </c>
    </row>
    <row r="93" spans="1:8" x14ac:dyDescent="0.3">
      <c r="A93" t="s">
        <v>107</v>
      </c>
      <c r="B93" t="s">
        <v>18</v>
      </c>
      <c r="C93">
        <v>7.68</v>
      </c>
      <c r="D93">
        <v>10.74</v>
      </c>
      <c r="E93">
        <v>225.7</v>
      </c>
      <c r="F93">
        <v>191.2</v>
      </c>
      <c r="G93">
        <v>215.2</v>
      </c>
      <c r="H93" t="s">
        <v>10</v>
      </c>
    </row>
    <row r="94" spans="1:8" x14ac:dyDescent="0.3">
      <c r="A94" t="s">
        <v>108</v>
      </c>
      <c r="B94" t="s">
        <v>22</v>
      </c>
      <c r="C94">
        <v>7.38</v>
      </c>
      <c r="D94">
        <v>3.75</v>
      </c>
      <c r="E94">
        <v>175.3</v>
      </c>
      <c r="F94">
        <v>41.5</v>
      </c>
      <c r="G94">
        <v>855</v>
      </c>
      <c r="H94" t="s">
        <v>13</v>
      </c>
    </row>
    <row r="95" spans="1:8" x14ac:dyDescent="0.3">
      <c r="A95" t="s">
        <v>109</v>
      </c>
      <c r="B95" t="s">
        <v>22</v>
      </c>
      <c r="C95">
        <v>8.0399999999999991</v>
      </c>
      <c r="D95">
        <v>1.75</v>
      </c>
      <c r="E95">
        <v>262.3</v>
      </c>
      <c r="F95">
        <v>119.5</v>
      </c>
      <c r="G95">
        <v>176.1</v>
      </c>
      <c r="H95" t="s">
        <v>13</v>
      </c>
    </row>
    <row r="96" spans="1:8" x14ac:dyDescent="0.3">
      <c r="A96" t="s">
        <v>110</v>
      </c>
      <c r="B96" t="s">
        <v>18</v>
      </c>
      <c r="C96">
        <v>8.43</v>
      </c>
      <c r="D96">
        <v>6.61</v>
      </c>
      <c r="E96">
        <v>256.5</v>
      </c>
      <c r="F96">
        <v>249.1</v>
      </c>
      <c r="G96">
        <v>1181.9000000000001</v>
      </c>
      <c r="H96" t="s">
        <v>10</v>
      </c>
    </row>
    <row r="97" spans="1:8" x14ac:dyDescent="0.3">
      <c r="A97" t="s">
        <v>111</v>
      </c>
      <c r="B97" t="s">
        <v>16</v>
      </c>
      <c r="C97">
        <v>7.3</v>
      </c>
      <c r="D97">
        <v>4.01</v>
      </c>
      <c r="E97">
        <v>124.7</v>
      </c>
      <c r="F97">
        <v>156.19999999999999</v>
      </c>
      <c r="G97">
        <v>871.8</v>
      </c>
      <c r="H97" t="s">
        <v>13</v>
      </c>
    </row>
    <row r="98" spans="1:8" x14ac:dyDescent="0.3">
      <c r="A98" t="s">
        <v>112</v>
      </c>
      <c r="B98" t="s">
        <v>22</v>
      </c>
      <c r="C98">
        <v>6.61</v>
      </c>
      <c r="D98">
        <v>3.61</v>
      </c>
      <c r="E98">
        <v>266.10000000000002</v>
      </c>
      <c r="F98">
        <v>103.4</v>
      </c>
      <c r="G98">
        <v>783.6</v>
      </c>
      <c r="H98" t="s">
        <v>13</v>
      </c>
    </row>
    <row r="99" spans="1:8" x14ac:dyDescent="0.3">
      <c r="A99" t="s">
        <v>113</v>
      </c>
      <c r="B99" t="s">
        <v>18</v>
      </c>
      <c r="C99">
        <v>6.55</v>
      </c>
      <c r="D99">
        <v>2.14</v>
      </c>
      <c r="E99">
        <v>140.19999999999999</v>
      </c>
      <c r="F99">
        <v>70.3</v>
      </c>
      <c r="G99">
        <v>904.2</v>
      </c>
      <c r="H99" t="s">
        <v>13</v>
      </c>
    </row>
    <row r="100" spans="1:8" x14ac:dyDescent="0.3">
      <c r="A100" t="s">
        <v>114</v>
      </c>
      <c r="B100" t="s">
        <v>22</v>
      </c>
      <c r="C100">
        <v>6.59</v>
      </c>
      <c r="D100">
        <v>2.71</v>
      </c>
      <c r="E100">
        <v>301.8</v>
      </c>
      <c r="F100">
        <v>73.5</v>
      </c>
      <c r="G100">
        <v>823.4</v>
      </c>
      <c r="H100" t="s">
        <v>13</v>
      </c>
    </row>
    <row r="101" spans="1:8" x14ac:dyDescent="0.3">
      <c r="A101" t="s">
        <v>115</v>
      </c>
      <c r="B101" t="s">
        <v>12</v>
      </c>
      <c r="C101">
        <v>8.2200000000000006</v>
      </c>
      <c r="D101">
        <v>5.44</v>
      </c>
      <c r="E101">
        <v>180.8</v>
      </c>
      <c r="F101">
        <v>274.2</v>
      </c>
      <c r="G101">
        <v>443.3</v>
      </c>
      <c r="H101" t="s">
        <v>10</v>
      </c>
    </row>
    <row r="102" spans="1:8" x14ac:dyDescent="0.3">
      <c r="A102" t="s">
        <v>116</v>
      </c>
      <c r="B102" t="s">
        <v>18</v>
      </c>
      <c r="C102">
        <v>8.6</v>
      </c>
      <c r="D102">
        <v>7.08</v>
      </c>
      <c r="E102">
        <v>225.4</v>
      </c>
      <c r="F102">
        <v>172.3</v>
      </c>
      <c r="G102">
        <v>242.3</v>
      </c>
      <c r="H102" t="s">
        <v>10</v>
      </c>
    </row>
    <row r="103" spans="1:8" x14ac:dyDescent="0.3">
      <c r="A103" t="s">
        <v>117</v>
      </c>
      <c r="B103" t="s">
        <v>9</v>
      </c>
      <c r="C103">
        <v>7.36</v>
      </c>
      <c r="D103">
        <v>10.130000000000001</v>
      </c>
      <c r="E103">
        <v>99.9</v>
      </c>
      <c r="F103">
        <v>195.7</v>
      </c>
      <c r="G103">
        <v>321.2</v>
      </c>
      <c r="H103" t="s">
        <v>10</v>
      </c>
    </row>
    <row r="104" spans="1:8" x14ac:dyDescent="0.3">
      <c r="A104" t="s">
        <v>118</v>
      </c>
      <c r="B104" t="s">
        <v>12</v>
      </c>
      <c r="C104">
        <v>6.5</v>
      </c>
      <c r="D104">
        <v>3.03</v>
      </c>
      <c r="E104">
        <v>130.9</v>
      </c>
      <c r="F104">
        <v>110.7</v>
      </c>
      <c r="G104">
        <v>1144.5</v>
      </c>
      <c r="H104" t="s">
        <v>13</v>
      </c>
    </row>
    <row r="105" spans="1:8" x14ac:dyDescent="0.3">
      <c r="A105" t="s">
        <v>119</v>
      </c>
      <c r="B105" t="s">
        <v>18</v>
      </c>
      <c r="C105">
        <v>7.49</v>
      </c>
      <c r="D105">
        <v>7.9</v>
      </c>
      <c r="E105">
        <v>141.80000000000001</v>
      </c>
      <c r="F105">
        <v>43.3</v>
      </c>
      <c r="G105">
        <v>1085.9000000000001</v>
      </c>
      <c r="H105" t="s">
        <v>10</v>
      </c>
    </row>
    <row r="106" spans="1:8" x14ac:dyDescent="0.3">
      <c r="A106" t="s">
        <v>120</v>
      </c>
      <c r="B106" t="s">
        <v>9</v>
      </c>
      <c r="C106">
        <v>6.46</v>
      </c>
      <c r="D106">
        <v>4.1900000000000004</v>
      </c>
      <c r="E106">
        <v>147.9</v>
      </c>
      <c r="F106">
        <v>128.6</v>
      </c>
      <c r="G106">
        <v>1050.8</v>
      </c>
      <c r="H106" t="s">
        <v>10</v>
      </c>
    </row>
    <row r="107" spans="1:8" x14ac:dyDescent="0.3">
      <c r="A107" t="s">
        <v>121</v>
      </c>
      <c r="B107" t="s">
        <v>16</v>
      </c>
      <c r="C107">
        <v>8.2799999999999994</v>
      </c>
      <c r="D107">
        <v>1.3</v>
      </c>
      <c r="E107">
        <v>103.1</v>
      </c>
      <c r="F107">
        <v>22.4</v>
      </c>
      <c r="G107">
        <v>1097.4000000000001</v>
      </c>
      <c r="H107" t="s">
        <v>13</v>
      </c>
    </row>
    <row r="108" spans="1:8" x14ac:dyDescent="0.3">
      <c r="A108" t="s">
        <v>122</v>
      </c>
      <c r="B108" t="s">
        <v>18</v>
      </c>
      <c r="C108">
        <v>7.96</v>
      </c>
      <c r="D108">
        <v>3.97</v>
      </c>
      <c r="E108">
        <v>113.4</v>
      </c>
      <c r="F108">
        <v>213.7</v>
      </c>
      <c r="G108">
        <v>717.5</v>
      </c>
      <c r="H108" t="s">
        <v>13</v>
      </c>
    </row>
    <row r="109" spans="1:8" x14ac:dyDescent="0.3">
      <c r="A109" t="s">
        <v>123</v>
      </c>
      <c r="B109" t="s">
        <v>12</v>
      </c>
      <c r="C109">
        <v>6.23</v>
      </c>
      <c r="D109">
        <v>4.78</v>
      </c>
      <c r="E109">
        <v>172.5</v>
      </c>
      <c r="F109">
        <v>239.3</v>
      </c>
      <c r="G109">
        <v>291.5</v>
      </c>
      <c r="H109" t="s">
        <v>10</v>
      </c>
    </row>
    <row r="110" spans="1:8" x14ac:dyDescent="0.3">
      <c r="A110" t="s">
        <v>124</v>
      </c>
      <c r="B110" t="s">
        <v>18</v>
      </c>
      <c r="C110">
        <v>6.47</v>
      </c>
      <c r="D110">
        <v>7.02</v>
      </c>
      <c r="E110">
        <v>112.2</v>
      </c>
      <c r="F110">
        <v>224.8</v>
      </c>
      <c r="G110">
        <v>902.9</v>
      </c>
      <c r="H110" t="s">
        <v>10</v>
      </c>
    </row>
    <row r="111" spans="1:8" x14ac:dyDescent="0.3">
      <c r="A111" t="s">
        <v>125</v>
      </c>
      <c r="B111" t="s">
        <v>9</v>
      </c>
      <c r="C111">
        <v>7.15</v>
      </c>
      <c r="D111">
        <v>3.88</v>
      </c>
      <c r="E111">
        <v>102.8</v>
      </c>
      <c r="F111">
        <v>60.7</v>
      </c>
      <c r="G111">
        <v>1090.7</v>
      </c>
      <c r="H111" t="s">
        <v>13</v>
      </c>
    </row>
    <row r="112" spans="1:8" x14ac:dyDescent="0.3">
      <c r="A112" t="s">
        <v>126</v>
      </c>
      <c r="B112" t="s">
        <v>22</v>
      </c>
      <c r="C112">
        <v>8.48</v>
      </c>
      <c r="D112">
        <v>11.59</v>
      </c>
      <c r="E112">
        <v>113</v>
      </c>
      <c r="F112">
        <v>55</v>
      </c>
      <c r="G112">
        <v>172.3</v>
      </c>
      <c r="H112" t="s">
        <v>10</v>
      </c>
    </row>
    <row r="113" spans="1:8" x14ac:dyDescent="0.3">
      <c r="A113" t="s">
        <v>127</v>
      </c>
      <c r="B113" t="s">
        <v>9</v>
      </c>
      <c r="C113">
        <v>8.0399999999999991</v>
      </c>
      <c r="D113">
        <v>6.76</v>
      </c>
      <c r="E113">
        <v>309.60000000000002</v>
      </c>
      <c r="F113">
        <v>241.7</v>
      </c>
      <c r="G113">
        <v>774.3</v>
      </c>
      <c r="H113" t="s">
        <v>10</v>
      </c>
    </row>
    <row r="114" spans="1:8" x14ac:dyDescent="0.3">
      <c r="A114" t="s">
        <v>128</v>
      </c>
      <c r="B114" t="s">
        <v>18</v>
      </c>
      <c r="C114">
        <v>8.17</v>
      </c>
      <c r="D114">
        <v>0.78</v>
      </c>
      <c r="E114">
        <v>183.7</v>
      </c>
      <c r="F114">
        <v>275.10000000000002</v>
      </c>
      <c r="G114">
        <v>918.9</v>
      </c>
      <c r="H114" t="s">
        <v>10</v>
      </c>
    </row>
    <row r="115" spans="1:8" x14ac:dyDescent="0.3">
      <c r="A115" t="s">
        <v>129</v>
      </c>
      <c r="B115" t="s">
        <v>12</v>
      </c>
      <c r="C115">
        <v>8.69</v>
      </c>
      <c r="D115">
        <v>7.45</v>
      </c>
      <c r="E115">
        <v>193.6</v>
      </c>
      <c r="F115">
        <v>32.700000000000003</v>
      </c>
      <c r="G115">
        <v>577.1</v>
      </c>
      <c r="H115" t="s">
        <v>10</v>
      </c>
    </row>
    <row r="116" spans="1:8" x14ac:dyDescent="0.3">
      <c r="A116" t="s">
        <v>130</v>
      </c>
      <c r="B116" t="s">
        <v>22</v>
      </c>
      <c r="C116">
        <v>6.22</v>
      </c>
      <c r="D116">
        <v>10.51</v>
      </c>
      <c r="E116">
        <v>268.89999999999998</v>
      </c>
      <c r="F116">
        <v>216</v>
      </c>
      <c r="G116">
        <v>829.4</v>
      </c>
      <c r="H116" t="s">
        <v>10</v>
      </c>
    </row>
    <row r="117" spans="1:8" x14ac:dyDescent="0.3">
      <c r="A117" t="s">
        <v>131</v>
      </c>
      <c r="B117" t="s">
        <v>9</v>
      </c>
      <c r="C117">
        <v>7.61</v>
      </c>
      <c r="D117">
        <v>5.27</v>
      </c>
      <c r="E117">
        <v>311.10000000000002</v>
      </c>
      <c r="F117">
        <v>228.7</v>
      </c>
      <c r="G117">
        <v>159.80000000000001</v>
      </c>
      <c r="H117" t="s">
        <v>10</v>
      </c>
    </row>
    <row r="118" spans="1:8" x14ac:dyDescent="0.3">
      <c r="A118" t="s">
        <v>132</v>
      </c>
      <c r="B118" t="s">
        <v>18</v>
      </c>
      <c r="C118">
        <v>7.1</v>
      </c>
      <c r="D118">
        <v>1.78</v>
      </c>
      <c r="E118">
        <v>294.3</v>
      </c>
      <c r="F118">
        <v>74.8</v>
      </c>
      <c r="G118">
        <v>932.2</v>
      </c>
      <c r="H118" t="s">
        <v>13</v>
      </c>
    </row>
    <row r="119" spans="1:8" x14ac:dyDescent="0.3">
      <c r="A119" t="s">
        <v>133</v>
      </c>
      <c r="B119" t="s">
        <v>16</v>
      </c>
      <c r="C119">
        <v>7.89</v>
      </c>
      <c r="D119">
        <v>4.9800000000000004</v>
      </c>
      <c r="E119">
        <v>203.6</v>
      </c>
      <c r="F119">
        <v>171.3</v>
      </c>
      <c r="G119">
        <v>254.2</v>
      </c>
      <c r="H119" t="s">
        <v>13</v>
      </c>
    </row>
    <row r="120" spans="1:8" x14ac:dyDescent="0.3">
      <c r="A120" t="s">
        <v>134</v>
      </c>
      <c r="B120" t="s">
        <v>28</v>
      </c>
      <c r="C120">
        <v>7.43</v>
      </c>
      <c r="D120">
        <v>11.9</v>
      </c>
      <c r="E120">
        <v>140</v>
      </c>
      <c r="F120">
        <v>216.9</v>
      </c>
      <c r="G120">
        <v>692.9</v>
      </c>
      <c r="H120" t="s">
        <v>10</v>
      </c>
    </row>
    <row r="121" spans="1:8" x14ac:dyDescent="0.3">
      <c r="A121" t="s">
        <v>135</v>
      </c>
      <c r="B121" t="s">
        <v>18</v>
      </c>
      <c r="C121">
        <v>8.67</v>
      </c>
      <c r="D121">
        <v>2.23</v>
      </c>
      <c r="E121">
        <v>230.3</v>
      </c>
      <c r="F121">
        <v>266.8</v>
      </c>
      <c r="G121">
        <v>218</v>
      </c>
      <c r="H121" t="s">
        <v>10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CAACE-AE17-44B7-B6B7-7C73FE48CDC6}">
  <dimension ref="A1:P122"/>
  <sheetViews>
    <sheetView topLeftCell="C1" workbookViewId="0">
      <selection activeCell="P5" sqref="P5"/>
    </sheetView>
  </sheetViews>
  <sheetFormatPr defaultRowHeight="14.4" x14ac:dyDescent="0.3"/>
  <cols>
    <col min="1" max="1" width="10.5546875" bestFit="1" customWidth="1"/>
    <col min="2" max="2" width="17.5546875" bestFit="1" customWidth="1"/>
    <col min="3" max="3" width="9.21875" customWidth="1"/>
    <col min="4" max="4" width="15.109375" bestFit="1" customWidth="1"/>
    <col min="5" max="5" width="20.33203125" bestFit="1" customWidth="1"/>
    <col min="6" max="6" width="14.77734375" bestFit="1" customWidth="1"/>
    <col min="7" max="7" width="21.33203125" bestFit="1" customWidth="1"/>
    <col min="8" max="8" width="16.5546875" bestFit="1" customWidth="1"/>
    <col min="9" max="9" width="15.44140625" bestFit="1" customWidth="1"/>
    <col min="10" max="10" width="11.6640625" customWidth="1"/>
    <col min="11" max="11" width="15.5546875" customWidth="1"/>
    <col min="12" max="12" width="17.21875" customWidth="1"/>
    <col min="13" max="13" width="13" customWidth="1"/>
    <col min="15" max="15" width="17" customWidth="1"/>
    <col min="16" max="16" width="15.33203125" customWidth="1"/>
  </cols>
  <sheetData>
    <row r="1" spans="1:16" x14ac:dyDescent="0.3">
      <c r="A1" t="s">
        <v>0</v>
      </c>
      <c r="B1" t="s">
        <v>1</v>
      </c>
      <c r="C1" t="s">
        <v>2</v>
      </c>
      <c r="D1" t="s">
        <v>3</v>
      </c>
      <c r="E1" t="s">
        <v>4</v>
      </c>
      <c r="F1" t="s">
        <v>5</v>
      </c>
      <c r="G1" t="s">
        <v>6</v>
      </c>
      <c r="H1" t="s">
        <v>7</v>
      </c>
      <c r="I1" t="s">
        <v>136</v>
      </c>
      <c r="J1" t="s">
        <v>141</v>
      </c>
      <c r="K1" t="s">
        <v>142</v>
      </c>
      <c r="L1" t="s">
        <v>143</v>
      </c>
      <c r="M1" t="s">
        <v>144</v>
      </c>
      <c r="N1" t="s">
        <v>145</v>
      </c>
      <c r="O1" t="s">
        <v>146</v>
      </c>
      <c r="P1" t="s">
        <v>147</v>
      </c>
    </row>
    <row r="2" spans="1:16" x14ac:dyDescent="0.3">
      <c r="A2" s="1">
        <v>45658</v>
      </c>
      <c r="B2" t="s">
        <v>9</v>
      </c>
      <c r="C2">
        <v>8.39</v>
      </c>
      <c r="D2">
        <v>4.91</v>
      </c>
      <c r="E2">
        <v>126.5</v>
      </c>
      <c r="F2">
        <v>276.5</v>
      </c>
      <c r="G2">
        <v>245.4</v>
      </c>
      <c r="H2" t="s">
        <v>10</v>
      </c>
      <c r="I2" t="s">
        <v>137</v>
      </c>
      <c r="J2">
        <f>VLOOKUP("pH",parametros!A:C,2,FALSE)</f>
        <v>6.5</v>
      </c>
      <c r="K2">
        <f>VLOOKUP("pH",parametros!A:C,3,FALSE)</f>
        <v>8.5</v>
      </c>
      <c r="L2" t="str" cm="1">
        <f t="array" ref="L2">IF(AND(Table1__2[[#This Row],[pH]]&gt;=Table1__2[pH_Min],Table1__2[[#This Row],[pH]]&lt;=Table1__2[pH_Max]),"OK","Out")</f>
        <v>OK</v>
      </c>
      <c r="M2" t="str">
        <f>IF(D2&lt;=VLOOKUP("Turbidez_NTU",parametros!A:C,3,FALSE),"OK","Out")</f>
        <v>OK</v>
      </c>
      <c r="N2" t="str">
        <f>IF(F1&lt;=VLOOKUP("Cloruros_mgL",parametros!A:C,3,FALSE),"OK","Out")</f>
        <v>Out</v>
      </c>
      <c r="O2" t="str">
        <f>IF(AND(L3="OK",M3="OK",N3="OK"),"COMPLIES","NON-COMPLIANT")</f>
        <v>NON-COMPLIANT</v>
      </c>
      <c r="P2" t="str">
        <f t="shared" ref="P2:P33" si="0">IF(H2="COMPLIES","Safe",IF(D2&gt;10,"Critical","Medium Risk"))</f>
        <v>Medium Risk</v>
      </c>
    </row>
    <row r="3" spans="1:16" x14ac:dyDescent="0.3">
      <c r="A3" s="1">
        <v>45659</v>
      </c>
      <c r="B3" t="s">
        <v>12</v>
      </c>
      <c r="C3">
        <v>8.01</v>
      </c>
      <c r="D3">
        <v>2.1</v>
      </c>
      <c r="E3">
        <v>163</v>
      </c>
      <c r="F3">
        <v>26.3</v>
      </c>
      <c r="G3">
        <v>1037.3</v>
      </c>
      <c r="H3" t="s">
        <v>13</v>
      </c>
      <c r="I3" t="s">
        <v>137</v>
      </c>
      <c r="J3">
        <f>VLOOKUP("pH",parametros!A:C,2,FALSE)</f>
        <v>6.5</v>
      </c>
      <c r="K3">
        <f>VLOOKUP("pH",parametros!A:C,3,FALSE)</f>
        <v>8.5</v>
      </c>
      <c r="L3" t="str" cm="1">
        <f t="array" ref="L3">IF(AND(Table1__2[[#This Row],[pH]]&gt;=Table1__2[pH_Min],Table1__2[[#This Row],[pH]]&lt;=Table1__2[pH_Max]),"OK","Out")</f>
        <v>OK</v>
      </c>
      <c r="M3" t="str">
        <f>IF(D3&lt;=VLOOKUP("Turbidez_NTU",parametros!A:C,3,FALSE),"OK","Out")</f>
        <v>OK</v>
      </c>
      <c r="N3" t="str">
        <f>IF(F2&lt;=VLOOKUP("Cloruros_mgL",parametros!A:C,3,FALSE),"OK","Out")</f>
        <v>Out</v>
      </c>
      <c r="O3" t="str">
        <f>IF(AND(L4="OK",M4="OK",N4="OK"),"COMPLIES","NON-COMPLIANT")</f>
        <v>NON-COMPLIANT</v>
      </c>
      <c r="P3" t="str">
        <f t="shared" si="0"/>
        <v>Medium Risk</v>
      </c>
    </row>
    <row r="4" spans="1:16" x14ac:dyDescent="0.3">
      <c r="A4" s="1">
        <v>45660</v>
      </c>
      <c r="B4" t="s">
        <v>9</v>
      </c>
      <c r="C4">
        <v>8.4</v>
      </c>
      <c r="D4">
        <v>5.76</v>
      </c>
      <c r="E4">
        <v>120.8</v>
      </c>
      <c r="F4">
        <v>116</v>
      </c>
      <c r="G4">
        <v>968.2</v>
      </c>
      <c r="H4" t="s">
        <v>10</v>
      </c>
      <c r="I4" t="s">
        <v>137</v>
      </c>
      <c r="J4">
        <f>VLOOKUP("pH",parametros!A:C,2,FALSE)</f>
        <v>6.5</v>
      </c>
      <c r="K4">
        <f>VLOOKUP("pH",parametros!A:C,3,FALSE)</f>
        <v>8.5</v>
      </c>
      <c r="L4" t="str" cm="1">
        <f t="array" ref="L4">IF(AND(Table1__2[[#This Row],[pH]]&gt;=Table1__2[pH_Min],Table1__2[[#This Row],[pH]]&lt;=Table1__2[pH_Max]),"OK","Out")</f>
        <v>OK</v>
      </c>
      <c r="M4" t="str">
        <f>IF(D4&lt;=VLOOKUP("Turbidez_NTU",parametros!A:C,3,FALSE),"OK","Out")</f>
        <v>Out</v>
      </c>
      <c r="N4" t="str">
        <f>IF(F3&lt;=VLOOKUP("Cloruros_mgL",parametros!A:C,3,FALSE),"OK","Out")</f>
        <v>OK</v>
      </c>
      <c r="O4" t="str">
        <f t="shared" ref="O4:O33" si="1">IF(AND(L4="OK",M4="OK",N4="OK"),"COMPLIES","NON-COMPLIANT")</f>
        <v>NON-COMPLIANT</v>
      </c>
      <c r="P4" t="str">
        <f t="shared" si="0"/>
        <v>Medium Risk</v>
      </c>
    </row>
    <row r="5" spans="1:16" x14ac:dyDescent="0.3">
      <c r="A5" s="1">
        <v>45661</v>
      </c>
      <c r="B5" t="s">
        <v>16</v>
      </c>
      <c r="C5">
        <v>7.26</v>
      </c>
      <c r="D5">
        <v>11.08</v>
      </c>
      <c r="E5">
        <v>223.5</v>
      </c>
      <c r="F5">
        <v>177.4</v>
      </c>
      <c r="G5">
        <v>895.7</v>
      </c>
      <c r="H5" t="s">
        <v>10</v>
      </c>
      <c r="I5" t="s">
        <v>137</v>
      </c>
      <c r="J5">
        <f>VLOOKUP("pH",parametros!A:C,2,FALSE)</f>
        <v>6.5</v>
      </c>
      <c r="K5">
        <f>VLOOKUP("pH",parametros!A:C,3,FALSE)</f>
        <v>8.5</v>
      </c>
      <c r="L5" t="str" cm="1">
        <f t="array" ref="L5">IF(AND(Table1__2[[#This Row],[pH]]&gt;=Table1__2[pH_Min],Table1__2[[#This Row],[pH]]&lt;=Table1__2[pH_Max]),"OK","Out")</f>
        <v>OK</v>
      </c>
      <c r="M5" t="str">
        <f>IF(D5&lt;=VLOOKUP("Turbidez_NTU",parametros!A:C,3,FALSE),"OK","Out")</f>
        <v>Out</v>
      </c>
      <c r="N5" t="str">
        <f>IF(F4&lt;=VLOOKUP("Cloruros_mgL",parametros!A:C,3,FALSE),"OK","Out")</f>
        <v>OK</v>
      </c>
      <c r="O5" t="str">
        <f t="shared" si="1"/>
        <v>NON-COMPLIANT</v>
      </c>
      <c r="P5" t="str">
        <f t="shared" si="0"/>
        <v>Critical</v>
      </c>
    </row>
    <row r="6" spans="1:16" x14ac:dyDescent="0.3">
      <c r="A6" s="1">
        <v>45662</v>
      </c>
      <c r="B6" t="s">
        <v>18</v>
      </c>
      <c r="C6">
        <v>8.76</v>
      </c>
      <c r="D6">
        <v>4.49</v>
      </c>
      <c r="E6">
        <v>162.19999999999999</v>
      </c>
      <c r="F6">
        <v>159</v>
      </c>
      <c r="G6">
        <v>326.8</v>
      </c>
      <c r="H6" t="s">
        <v>10</v>
      </c>
      <c r="I6" t="s">
        <v>137</v>
      </c>
      <c r="J6">
        <f>VLOOKUP("pH",parametros!A:C,2,FALSE)</f>
        <v>6.5</v>
      </c>
      <c r="K6">
        <f>VLOOKUP("pH",parametros!A:C,3,FALSE)</f>
        <v>8.5</v>
      </c>
      <c r="L6" t="str" cm="1">
        <f t="array" ref="L6">IF(AND(Table1__2[[#This Row],[pH]]&gt;=Table1__2[pH_Min],Table1__2[[#This Row],[pH]]&lt;=Table1__2[pH_Max]),"OK","Out")</f>
        <v>Out</v>
      </c>
      <c r="M6" t="str">
        <f>IF(D6&lt;=VLOOKUP("Turbidez_NTU",parametros!A:C,3,FALSE),"OK","Out")</f>
        <v>OK</v>
      </c>
      <c r="N6" t="str">
        <f>IF(F5&lt;=VLOOKUP("Cloruros_mgL",parametros!A:C,3,FALSE),"OK","Out")</f>
        <v>OK</v>
      </c>
      <c r="O6" t="str">
        <f t="shared" si="1"/>
        <v>NON-COMPLIANT</v>
      </c>
      <c r="P6" t="str">
        <f t="shared" si="0"/>
        <v>Medium Risk</v>
      </c>
    </row>
    <row r="7" spans="1:16" x14ac:dyDescent="0.3">
      <c r="A7" s="1">
        <v>45663</v>
      </c>
      <c r="B7" t="s">
        <v>18</v>
      </c>
      <c r="C7">
        <v>6.01</v>
      </c>
      <c r="D7">
        <v>8.68</v>
      </c>
      <c r="E7">
        <v>169.1</v>
      </c>
      <c r="F7">
        <v>196.5</v>
      </c>
      <c r="G7">
        <v>752.3</v>
      </c>
      <c r="H7" t="s">
        <v>10</v>
      </c>
      <c r="I7" t="s">
        <v>137</v>
      </c>
      <c r="J7">
        <f>VLOOKUP("pH",parametros!A:C,2,FALSE)</f>
        <v>6.5</v>
      </c>
      <c r="K7">
        <f>VLOOKUP("pH",parametros!A:C,3,FALSE)</f>
        <v>8.5</v>
      </c>
      <c r="L7" t="str" cm="1">
        <f t="array" ref="L7">IF(AND(Table1__2[[#This Row],[pH]]&gt;=Table1__2[pH_Min],Table1__2[[#This Row],[pH]]&lt;=Table1__2[pH_Max]),"OK","Out")</f>
        <v>Out</v>
      </c>
      <c r="M7" t="str">
        <f>IF(D7&lt;=VLOOKUP("Turbidez_NTU",parametros!A:C,3,FALSE),"OK","Out")</f>
        <v>Out</v>
      </c>
      <c r="N7" t="str">
        <f>IF(F6&lt;=VLOOKUP("Cloruros_mgL",parametros!A:C,3,FALSE),"OK","Out")</f>
        <v>OK</v>
      </c>
      <c r="O7" t="str">
        <f t="shared" si="1"/>
        <v>NON-COMPLIANT</v>
      </c>
      <c r="P7" t="str">
        <f t="shared" si="0"/>
        <v>Medium Risk</v>
      </c>
    </row>
    <row r="8" spans="1:16" x14ac:dyDescent="0.3">
      <c r="A8" s="1">
        <v>45664</v>
      </c>
      <c r="B8" t="s">
        <v>18</v>
      </c>
      <c r="C8">
        <v>8.06</v>
      </c>
      <c r="D8">
        <v>5.52</v>
      </c>
      <c r="E8">
        <v>109</v>
      </c>
      <c r="F8">
        <v>231.4</v>
      </c>
      <c r="G8">
        <v>537.6</v>
      </c>
      <c r="H8" t="s">
        <v>10</v>
      </c>
      <c r="I8" t="s">
        <v>137</v>
      </c>
      <c r="J8">
        <f>VLOOKUP("pH",parametros!A:C,2,FALSE)</f>
        <v>6.5</v>
      </c>
      <c r="K8">
        <f>VLOOKUP("pH",parametros!A:C,3,FALSE)</f>
        <v>8.5</v>
      </c>
      <c r="L8" t="str" cm="1">
        <f t="array" ref="L8">IF(AND(Table1__2[[#This Row],[pH]]&gt;=Table1__2[pH_Min],Table1__2[[#This Row],[pH]]&lt;=Table1__2[pH_Max]),"OK","Out")</f>
        <v>OK</v>
      </c>
      <c r="M8" t="str">
        <f>IF(D8&lt;=VLOOKUP("Turbidez_NTU",parametros!A:C,3,FALSE),"OK","Out")</f>
        <v>Out</v>
      </c>
      <c r="N8" t="str">
        <f>IF(F7&lt;=VLOOKUP("Cloruros_mgL",parametros!A:C,3,FALSE),"OK","Out")</f>
        <v>OK</v>
      </c>
      <c r="O8" t="str">
        <f t="shared" si="1"/>
        <v>NON-COMPLIANT</v>
      </c>
      <c r="P8" t="str">
        <f t="shared" si="0"/>
        <v>Medium Risk</v>
      </c>
    </row>
    <row r="9" spans="1:16" x14ac:dyDescent="0.3">
      <c r="A9" s="1">
        <v>45665</v>
      </c>
      <c r="B9" t="s">
        <v>22</v>
      </c>
      <c r="C9">
        <v>8.4700000000000006</v>
      </c>
      <c r="D9">
        <v>2.67</v>
      </c>
      <c r="E9">
        <v>85.6</v>
      </c>
      <c r="F9">
        <v>15.8</v>
      </c>
      <c r="G9">
        <v>516.20000000000005</v>
      </c>
      <c r="H9" t="s">
        <v>13</v>
      </c>
      <c r="I9" t="s">
        <v>137</v>
      </c>
      <c r="J9">
        <f>VLOOKUP("pH",parametros!A:C,2,FALSE)</f>
        <v>6.5</v>
      </c>
      <c r="K9">
        <f>VLOOKUP("pH",parametros!A:C,3,FALSE)</f>
        <v>8.5</v>
      </c>
      <c r="L9" t="str" cm="1">
        <f t="array" ref="L9">IF(AND(Table1__2[[#This Row],[pH]]&gt;=Table1__2[pH_Min],Table1__2[[#This Row],[pH]]&lt;=Table1__2[pH_Max]),"OK","Out")</f>
        <v>OK</v>
      </c>
      <c r="M9" t="str">
        <f>IF(D9&lt;=VLOOKUP("Turbidez_NTU",parametros!A:C,3,FALSE),"OK","Out")</f>
        <v>OK</v>
      </c>
      <c r="N9" t="str">
        <f>IF(F8&lt;=VLOOKUP("Cloruros_mgL",parametros!A:C,3,FALSE),"OK","Out")</f>
        <v>OK</v>
      </c>
      <c r="O9" t="str">
        <f t="shared" si="1"/>
        <v>COMPLIES</v>
      </c>
      <c r="P9" t="str">
        <f t="shared" si="0"/>
        <v>Medium Risk</v>
      </c>
    </row>
    <row r="10" spans="1:16" x14ac:dyDescent="0.3">
      <c r="A10" s="1">
        <v>45666</v>
      </c>
      <c r="B10" t="s">
        <v>22</v>
      </c>
      <c r="C10">
        <v>6.9</v>
      </c>
      <c r="D10">
        <v>8.41</v>
      </c>
      <c r="E10">
        <v>161.1</v>
      </c>
      <c r="F10">
        <v>123.7</v>
      </c>
      <c r="G10">
        <v>1025</v>
      </c>
      <c r="H10" t="s">
        <v>10</v>
      </c>
      <c r="I10" t="s">
        <v>137</v>
      </c>
      <c r="J10">
        <f>VLOOKUP("pH",parametros!A:C,2,FALSE)</f>
        <v>6.5</v>
      </c>
      <c r="K10">
        <f>VLOOKUP("pH",parametros!A:C,3,FALSE)</f>
        <v>8.5</v>
      </c>
      <c r="L10" t="str" cm="1">
        <f t="array" ref="L10">IF(AND(Table1__2[[#This Row],[pH]]&gt;=Table1__2[pH_Min],Table1__2[[#This Row],[pH]]&lt;=Table1__2[pH_Max]),"OK","Out")</f>
        <v>OK</v>
      </c>
      <c r="M10" t="str">
        <f>IF(D10&lt;=VLOOKUP("Turbidez_NTU",parametros!A:C,3,FALSE),"OK","Out")</f>
        <v>Out</v>
      </c>
      <c r="N10" t="str">
        <f>IF(F9&lt;=VLOOKUP("Cloruros_mgL",parametros!A:C,3,FALSE),"OK","Out")</f>
        <v>OK</v>
      </c>
      <c r="O10" t="str">
        <f t="shared" si="1"/>
        <v>NON-COMPLIANT</v>
      </c>
      <c r="P10" t="str">
        <f t="shared" si="0"/>
        <v>Medium Risk</v>
      </c>
    </row>
    <row r="11" spans="1:16" x14ac:dyDescent="0.3">
      <c r="A11" s="1">
        <v>45667</v>
      </c>
      <c r="B11" t="s">
        <v>12</v>
      </c>
      <c r="C11">
        <v>8.4499999999999993</v>
      </c>
      <c r="D11">
        <v>2.64</v>
      </c>
      <c r="E11">
        <v>240.4</v>
      </c>
      <c r="F11">
        <v>235.9</v>
      </c>
      <c r="G11">
        <v>189.4</v>
      </c>
      <c r="H11" t="s">
        <v>13</v>
      </c>
      <c r="I11" t="s">
        <v>137</v>
      </c>
      <c r="J11">
        <f>VLOOKUP("pH",parametros!A:C,2,FALSE)</f>
        <v>6.5</v>
      </c>
      <c r="K11">
        <f>VLOOKUP("pH",parametros!A:C,3,FALSE)</f>
        <v>8.5</v>
      </c>
      <c r="L11" t="str" cm="1">
        <f t="array" ref="L11">IF(AND(Table1__2[[#This Row],[pH]]&gt;=Table1__2[pH_Min],Table1__2[[#This Row],[pH]]&lt;=Table1__2[pH_Max]),"OK","Out")</f>
        <v>OK</v>
      </c>
      <c r="M11" t="str">
        <f>IF(D11&lt;=VLOOKUP("Turbidez_NTU",parametros!A:C,3,FALSE),"OK","Out")</f>
        <v>OK</v>
      </c>
      <c r="N11" t="str">
        <f>IF(F10&lt;=VLOOKUP("Cloruros_mgL",parametros!A:C,3,FALSE),"OK","Out")</f>
        <v>OK</v>
      </c>
      <c r="O11" t="str">
        <f t="shared" si="1"/>
        <v>COMPLIES</v>
      </c>
      <c r="P11" t="str">
        <f t="shared" si="0"/>
        <v>Medium Risk</v>
      </c>
    </row>
    <row r="12" spans="1:16" x14ac:dyDescent="0.3">
      <c r="A12" s="1">
        <v>45668</v>
      </c>
      <c r="B12" t="s">
        <v>16</v>
      </c>
      <c r="C12">
        <v>7.32</v>
      </c>
      <c r="D12">
        <v>7.93</v>
      </c>
      <c r="E12">
        <v>219.2</v>
      </c>
      <c r="F12">
        <v>185.5</v>
      </c>
      <c r="G12">
        <v>377.5</v>
      </c>
      <c r="H12" t="s">
        <v>10</v>
      </c>
      <c r="I12" t="s">
        <v>137</v>
      </c>
      <c r="J12">
        <f>VLOOKUP("pH",parametros!A:C,2,FALSE)</f>
        <v>6.5</v>
      </c>
      <c r="K12">
        <f>VLOOKUP("pH",parametros!A:C,3,FALSE)</f>
        <v>8.5</v>
      </c>
      <c r="L12" t="str" cm="1">
        <f t="array" ref="L12">IF(AND(Table1__2[[#This Row],[pH]]&gt;=Table1__2[pH_Min],Table1__2[[#This Row],[pH]]&lt;=Table1__2[pH_Max]),"OK","Out")</f>
        <v>OK</v>
      </c>
      <c r="M12" t="str">
        <f>IF(D12&lt;=VLOOKUP("Turbidez_NTU",parametros!A:C,3,FALSE),"OK","Out")</f>
        <v>Out</v>
      </c>
      <c r="N12" t="str">
        <f>IF(F11&lt;=VLOOKUP("Cloruros_mgL",parametros!A:C,3,FALSE),"OK","Out")</f>
        <v>OK</v>
      </c>
      <c r="O12" t="str">
        <f t="shared" si="1"/>
        <v>NON-COMPLIANT</v>
      </c>
      <c r="P12" t="str">
        <f t="shared" si="0"/>
        <v>Medium Risk</v>
      </c>
    </row>
    <row r="13" spans="1:16" x14ac:dyDescent="0.3">
      <c r="A13" s="1">
        <v>45669</v>
      </c>
      <c r="B13" t="s">
        <v>18</v>
      </c>
      <c r="C13">
        <v>8.3699999999999992</v>
      </c>
      <c r="D13">
        <v>0.74</v>
      </c>
      <c r="E13">
        <v>213.5</v>
      </c>
      <c r="F13">
        <v>209.3</v>
      </c>
      <c r="G13">
        <v>1108.9000000000001</v>
      </c>
      <c r="H13" t="s">
        <v>13</v>
      </c>
      <c r="I13" t="s">
        <v>137</v>
      </c>
      <c r="J13">
        <f>VLOOKUP("pH",parametros!A:C,2,FALSE)</f>
        <v>6.5</v>
      </c>
      <c r="K13">
        <f>VLOOKUP("pH",parametros!A:C,3,FALSE)</f>
        <v>8.5</v>
      </c>
      <c r="L13" t="str" cm="1">
        <f t="array" ref="L13">IF(AND(Table1__2[[#This Row],[pH]]&gt;=Table1__2[pH_Min],Table1__2[[#This Row],[pH]]&lt;=Table1__2[pH_Max]),"OK","Out")</f>
        <v>OK</v>
      </c>
      <c r="M13" t="str">
        <f>IF(D13&lt;=VLOOKUP("Turbidez_NTU",parametros!A:C,3,FALSE),"OK","Out")</f>
        <v>OK</v>
      </c>
      <c r="N13" t="str">
        <f>IF(F12&lt;=VLOOKUP("Cloruros_mgL",parametros!A:C,3,FALSE),"OK","Out")</f>
        <v>OK</v>
      </c>
      <c r="O13" t="str">
        <f t="shared" si="1"/>
        <v>COMPLIES</v>
      </c>
      <c r="P13" t="str">
        <f t="shared" si="0"/>
        <v>Medium Risk</v>
      </c>
    </row>
    <row r="14" spans="1:16" x14ac:dyDescent="0.3">
      <c r="A14" s="1">
        <v>45670</v>
      </c>
      <c r="B14" t="s">
        <v>28</v>
      </c>
      <c r="C14">
        <v>6.2</v>
      </c>
      <c r="D14">
        <v>3.23</v>
      </c>
      <c r="E14">
        <v>277.39999999999998</v>
      </c>
      <c r="F14">
        <v>32.9</v>
      </c>
      <c r="G14">
        <v>884</v>
      </c>
      <c r="H14" t="s">
        <v>10</v>
      </c>
      <c r="I14" t="s">
        <v>137</v>
      </c>
      <c r="J14">
        <f>VLOOKUP("pH",parametros!A:C,2,FALSE)</f>
        <v>6.5</v>
      </c>
      <c r="K14">
        <f>VLOOKUP("pH",parametros!A:C,3,FALSE)</f>
        <v>8.5</v>
      </c>
      <c r="L14" t="str" cm="1">
        <f t="array" ref="L14">IF(AND(Table1__2[[#This Row],[pH]]&gt;=Table1__2[pH_Min],Table1__2[[#This Row],[pH]]&lt;=Table1__2[pH_Max]),"OK","Out")</f>
        <v>Out</v>
      </c>
      <c r="M14" t="str">
        <f>IF(D14&lt;=VLOOKUP("Turbidez_NTU",parametros!A:C,3,FALSE),"OK","Out")</f>
        <v>OK</v>
      </c>
      <c r="N14" t="str">
        <f>IF(F13&lt;=VLOOKUP("Cloruros_mgL",parametros!A:C,3,FALSE),"OK","Out")</f>
        <v>OK</v>
      </c>
      <c r="O14" t="str">
        <f t="shared" si="1"/>
        <v>NON-COMPLIANT</v>
      </c>
      <c r="P14" t="str">
        <f t="shared" si="0"/>
        <v>Medium Risk</v>
      </c>
    </row>
    <row r="15" spans="1:16" x14ac:dyDescent="0.3">
      <c r="A15" s="1">
        <v>45671</v>
      </c>
      <c r="B15" t="s">
        <v>28</v>
      </c>
      <c r="C15">
        <v>7.19</v>
      </c>
      <c r="D15">
        <v>8</v>
      </c>
      <c r="E15">
        <v>229.2</v>
      </c>
      <c r="F15">
        <v>150.1</v>
      </c>
      <c r="G15">
        <v>909</v>
      </c>
      <c r="H15" t="s">
        <v>10</v>
      </c>
      <c r="I15" t="s">
        <v>137</v>
      </c>
      <c r="J15">
        <f>VLOOKUP("pH",parametros!A:C,2,FALSE)</f>
        <v>6.5</v>
      </c>
      <c r="K15">
        <f>VLOOKUP("pH",parametros!A:C,3,FALSE)</f>
        <v>8.5</v>
      </c>
      <c r="L15" t="str" cm="1">
        <f t="array" ref="L15">IF(AND(Table1__2[[#This Row],[pH]]&gt;=Table1__2[pH_Min],Table1__2[[#This Row],[pH]]&lt;=Table1__2[pH_Max]),"OK","Out")</f>
        <v>OK</v>
      </c>
      <c r="M15" t="str">
        <f>IF(D15&lt;=VLOOKUP("Turbidez_NTU",parametros!A:C,3,FALSE),"OK","Out")</f>
        <v>Out</v>
      </c>
      <c r="N15" t="str">
        <f>IF(F14&lt;=VLOOKUP("Cloruros_mgL",parametros!A:C,3,FALSE),"OK","Out")</f>
        <v>OK</v>
      </c>
      <c r="O15" t="str">
        <f t="shared" si="1"/>
        <v>NON-COMPLIANT</v>
      </c>
      <c r="P15" t="str">
        <f t="shared" si="0"/>
        <v>Medium Risk</v>
      </c>
    </row>
    <row r="16" spans="1:16" x14ac:dyDescent="0.3">
      <c r="A16" s="1">
        <v>45672</v>
      </c>
      <c r="B16" t="s">
        <v>12</v>
      </c>
      <c r="C16">
        <v>6.98</v>
      </c>
      <c r="D16">
        <v>10.28</v>
      </c>
      <c r="E16">
        <v>221.2</v>
      </c>
      <c r="F16">
        <v>142.30000000000001</v>
      </c>
      <c r="G16">
        <v>523.79999999999995</v>
      </c>
      <c r="H16" t="s">
        <v>10</v>
      </c>
      <c r="I16" t="s">
        <v>137</v>
      </c>
      <c r="J16">
        <f>VLOOKUP("pH",parametros!A:C,2,FALSE)</f>
        <v>6.5</v>
      </c>
      <c r="K16">
        <f>VLOOKUP("pH",parametros!A:C,3,FALSE)</f>
        <v>8.5</v>
      </c>
      <c r="L16" t="str" cm="1">
        <f t="array" ref="L16">IF(AND(Table1__2[[#This Row],[pH]]&gt;=Table1__2[pH_Min],Table1__2[[#This Row],[pH]]&lt;=Table1__2[pH_Max]),"OK","Out")</f>
        <v>OK</v>
      </c>
      <c r="M16" t="str">
        <f>IF(D16&lt;=VLOOKUP("Turbidez_NTU",parametros!A:C,3,FALSE),"OK","Out")</f>
        <v>Out</v>
      </c>
      <c r="N16" t="str">
        <f>IF(F15&lt;=VLOOKUP("Cloruros_mgL",parametros!A:C,3,FALSE),"OK","Out")</f>
        <v>OK</v>
      </c>
      <c r="O16" t="str">
        <f t="shared" si="1"/>
        <v>NON-COMPLIANT</v>
      </c>
      <c r="P16" t="str">
        <f t="shared" si="0"/>
        <v>Critical</v>
      </c>
    </row>
    <row r="17" spans="1:16" x14ac:dyDescent="0.3">
      <c r="A17" s="1">
        <v>45673</v>
      </c>
      <c r="B17" t="s">
        <v>12</v>
      </c>
      <c r="C17">
        <v>8.2799999999999994</v>
      </c>
      <c r="D17">
        <v>1.94</v>
      </c>
      <c r="E17">
        <v>117.9</v>
      </c>
      <c r="F17">
        <v>203.9</v>
      </c>
      <c r="G17">
        <v>913.9</v>
      </c>
      <c r="H17" t="s">
        <v>13</v>
      </c>
      <c r="I17" t="s">
        <v>137</v>
      </c>
      <c r="J17">
        <f>VLOOKUP("pH",parametros!A:C,2,FALSE)</f>
        <v>6.5</v>
      </c>
      <c r="K17">
        <f>VLOOKUP("pH",parametros!A:C,3,FALSE)</f>
        <v>8.5</v>
      </c>
      <c r="L17" t="str" cm="1">
        <f t="array" ref="L17">IF(AND(Table1__2[[#This Row],[pH]]&gt;=Table1__2[pH_Min],Table1__2[[#This Row],[pH]]&lt;=Table1__2[pH_Max]),"OK","Out")</f>
        <v>OK</v>
      </c>
      <c r="M17" t="str">
        <f>IF(D17&lt;=VLOOKUP("Turbidez_NTU",parametros!A:C,3,FALSE),"OK","Out")</f>
        <v>OK</v>
      </c>
      <c r="N17" t="str">
        <f>IF(F16&lt;=VLOOKUP("Cloruros_mgL",parametros!A:C,3,FALSE),"OK","Out")</f>
        <v>OK</v>
      </c>
      <c r="O17" t="str">
        <f t="shared" si="1"/>
        <v>COMPLIES</v>
      </c>
      <c r="P17" t="str">
        <f t="shared" si="0"/>
        <v>Medium Risk</v>
      </c>
    </row>
    <row r="18" spans="1:16" x14ac:dyDescent="0.3">
      <c r="A18" s="1">
        <v>45674</v>
      </c>
      <c r="B18" t="s">
        <v>28</v>
      </c>
      <c r="C18">
        <v>7.91</v>
      </c>
      <c r="D18">
        <v>7.38</v>
      </c>
      <c r="E18">
        <v>164.9</v>
      </c>
      <c r="F18">
        <v>138.4</v>
      </c>
      <c r="G18">
        <v>214</v>
      </c>
      <c r="H18" t="s">
        <v>10</v>
      </c>
      <c r="I18" t="s">
        <v>137</v>
      </c>
      <c r="J18">
        <f>VLOOKUP("pH",parametros!A:C,2,FALSE)</f>
        <v>6.5</v>
      </c>
      <c r="K18">
        <f>VLOOKUP("pH",parametros!A:C,3,FALSE)</f>
        <v>8.5</v>
      </c>
      <c r="L18" t="str" cm="1">
        <f t="array" ref="L18">IF(AND(Table1__2[[#This Row],[pH]]&gt;=Table1__2[pH_Min],Table1__2[[#This Row],[pH]]&lt;=Table1__2[pH_Max]),"OK","Out")</f>
        <v>OK</v>
      </c>
      <c r="M18" t="str">
        <f>IF(D18&lt;=VLOOKUP("Turbidez_NTU",parametros!A:C,3,FALSE),"OK","Out")</f>
        <v>Out</v>
      </c>
      <c r="N18" t="str">
        <f>IF(F17&lt;=VLOOKUP("Cloruros_mgL",parametros!A:C,3,FALSE),"OK","Out")</f>
        <v>OK</v>
      </c>
      <c r="O18" t="str">
        <f t="shared" si="1"/>
        <v>NON-COMPLIANT</v>
      </c>
      <c r="P18" t="str">
        <f t="shared" si="0"/>
        <v>Medium Risk</v>
      </c>
    </row>
    <row r="19" spans="1:16" x14ac:dyDescent="0.3">
      <c r="A19" s="1">
        <v>45675</v>
      </c>
      <c r="B19" t="s">
        <v>12</v>
      </c>
      <c r="C19">
        <v>6.84</v>
      </c>
      <c r="D19">
        <v>10.98</v>
      </c>
      <c r="E19">
        <v>87</v>
      </c>
      <c r="F19">
        <v>24.6</v>
      </c>
      <c r="G19">
        <v>679.5</v>
      </c>
      <c r="H19" t="s">
        <v>10</v>
      </c>
      <c r="I19" t="s">
        <v>137</v>
      </c>
      <c r="J19">
        <f>VLOOKUP("pH",parametros!A:C,2,FALSE)</f>
        <v>6.5</v>
      </c>
      <c r="K19">
        <f>VLOOKUP("pH",parametros!A:C,3,FALSE)</f>
        <v>8.5</v>
      </c>
      <c r="L19" t="str" cm="1">
        <f t="array" ref="L19">IF(AND(Table1__2[[#This Row],[pH]]&gt;=Table1__2[pH_Min],Table1__2[[#This Row],[pH]]&lt;=Table1__2[pH_Max]),"OK","Out")</f>
        <v>OK</v>
      </c>
      <c r="M19" t="str">
        <f>IF(D19&lt;=VLOOKUP("Turbidez_NTU",parametros!A:C,3,FALSE),"OK","Out")</f>
        <v>Out</v>
      </c>
      <c r="N19" t="str">
        <f>IF(F18&lt;=VLOOKUP("Cloruros_mgL",parametros!A:C,3,FALSE),"OK","Out")</f>
        <v>OK</v>
      </c>
      <c r="O19" t="str">
        <f t="shared" si="1"/>
        <v>NON-COMPLIANT</v>
      </c>
      <c r="P19" t="str">
        <f t="shared" si="0"/>
        <v>Critical</v>
      </c>
    </row>
    <row r="20" spans="1:16" x14ac:dyDescent="0.3">
      <c r="A20" s="1">
        <v>45676</v>
      </c>
      <c r="B20" t="s">
        <v>22</v>
      </c>
      <c r="C20">
        <v>6.55</v>
      </c>
      <c r="D20">
        <v>7.86</v>
      </c>
      <c r="E20">
        <v>99.2</v>
      </c>
      <c r="F20">
        <v>64.8</v>
      </c>
      <c r="G20">
        <v>229.7</v>
      </c>
      <c r="H20" t="s">
        <v>10</v>
      </c>
      <c r="I20" t="s">
        <v>137</v>
      </c>
      <c r="J20">
        <f>VLOOKUP("pH",parametros!A:C,2,FALSE)</f>
        <v>6.5</v>
      </c>
      <c r="K20">
        <f>VLOOKUP("pH",parametros!A:C,3,FALSE)</f>
        <v>8.5</v>
      </c>
      <c r="L20" t="str" cm="1">
        <f t="array" ref="L20">IF(AND(Table1__2[[#This Row],[pH]]&gt;=Table1__2[pH_Min],Table1__2[[#This Row],[pH]]&lt;=Table1__2[pH_Max]),"OK","Out")</f>
        <v>OK</v>
      </c>
      <c r="M20" t="str">
        <f>IF(D20&lt;=VLOOKUP("Turbidez_NTU",parametros!A:C,3,FALSE),"OK","Out")</f>
        <v>Out</v>
      </c>
      <c r="N20" t="str">
        <f>IF(F19&lt;=VLOOKUP("Cloruros_mgL",parametros!A:C,3,FALSE),"OK","Out")</f>
        <v>OK</v>
      </c>
      <c r="O20" t="str">
        <f t="shared" si="1"/>
        <v>NON-COMPLIANT</v>
      </c>
      <c r="P20" t="str">
        <f t="shared" si="0"/>
        <v>Medium Risk</v>
      </c>
    </row>
    <row r="21" spans="1:16" x14ac:dyDescent="0.3">
      <c r="A21" s="1">
        <v>45677</v>
      </c>
      <c r="B21" t="s">
        <v>16</v>
      </c>
      <c r="C21">
        <v>7.58</v>
      </c>
      <c r="D21">
        <v>6.18</v>
      </c>
      <c r="E21">
        <v>243</v>
      </c>
      <c r="F21">
        <v>82.8</v>
      </c>
      <c r="G21">
        <v>731.1</v>
      </c>
      <c r="H21" t="s">
        <v>10</v>
      </c>
      <c r="I21" t="s">
        <v>137</v>
      </c>
      <c r="J21">
        <f>VLOOKUP("pH",parametros!A:C,2,FALSE)</f>
        <v>6.5</v>
      </c>
      <c r="K21">
        <f>VLOOKUP("pH",parametros!A:C,3,FALSE)</f>
        <v>8.5</v>
      </c>
      <c r="L21" t="str" cm="1">
        <f t="array" ref="L21">IF(AND(Table1__2[[#This Row],[pH]]&gt;=Table1__2[pH_Min],Table1__2[[#This Row],[pH]]&lt;=Table1__2[pH_Max]),"OK","Out")</f>
        <v>OK</v>
      </c>
      <c r="M21" t="str">
        <f>IF(D21&lt;=VLOOKUP("Turbidez_NTU",parametros!A:C,3,FALSE),"OK","Out")</f>
        <v>Out</v>
      </c>
      <c r="N21" t="str">
        <f>IF(F20&lt;=VLOOKUP("Cloruros_mgL",parametros!A:C,3,FALSE),"OK","Out")</f>
        <v>OK</v>
      </c>
      <c r="O21" t="str">
        <f t="shared" si="1"/>
        <v>NON-COMPLIANT</v>
      </c>
      <c r="P21" t="str">
        <f t="shared" si="0"/>
        <v>Medium Risk</v>
      </c>
    </row>
    <row r="22" spans="1:16" x14ac:dyDescent="0.3">
      <c r="A22" s="1">
        <v>45678</v>
      </c>
      <c r="B22" t="s">
        <v>22</v>
      </c>
      <c r="C22">
        <v>8.57</v>
      </c>
      <c r="D22">
        <v>9.94</v>
      </c>
      <c r="E22">
        <v>150.9</v>
      </c>
      <c r="F22">
        <v>258.5</v>
      </c>
      <c r="G22">
        <v>374.1</v>
      </c>
      <c r="H22" t="s">
        <v>10</v>
      </c>
      <c r="I22" t="s">
        <v>137</v>
      </c>
      <c r="J22">
        <f>VLOOKUP("pH",parametros!A:C,2,FALSE)</f>
        <v>6.5</v>
      </c>
      <c r="K22">
        <f>VLOOKUP("pH",parametros!A:C,3,FALSE)</f>
        <v>8.5</v>
      </c>
      <c r="L22" t="str" cm="1">
        <f t="array" ref="L22">IF(AND(Table1__2[[#This Row],[pH]]&gt;=Table1__2[pH_Min],Table1__2[[#This Row],[pH]]&lt;=Table1__2[pH_Max]),"OK","Out")</f>
        <v>Out</v>
      </c>
      <c r="M22" t="str">
        <f>IF(D22&lt;=VLOOKUP("Turbidez_NTU",parametros!A:C,3,FALSE),"OK","Out")</f>
        <v>Out</v>
      </c>
      <c r="N22" t="str">
        <f>IF(F21&lt;=VLOOKUP("Cloruros_mgL",parametros!A:C,3,FALSE),"OK","Out")</f>
        <v>OK</v>
      </c>
      <c r="O22" t="str">
        <f t="shared" si="1"/>
        <v>NON-COMPLIANT</v>
      </c>
      <c r="P22" t="str">
        <f t="shared" si="0"/>
        <v>Medium Risk</v>
      </c>
    </row>
    <row r="23" spans="1:16" x14ac:dyDescent="0.3">
      <c r="A23" s="1">
        <v>45679</v>
      </c>
      <c r="B23" t="s">
        <v>16</v>
      </c>
      <c r="C23">
        <v>6.53</v>
      </c>
      <c r="D23">
        <v>6.2</v>
      </c>
      <c r="E23">
        <v>294.39999999999998</v>
      </c>
      <c r="F23">
        <v>139.80000000000001</v>
      </c>
      <c r="G23">
        <v>1049.7</v>
      </c>
      <c r="H23" t="s">
        <v>10</v>
      </c>
      <c r="I23" t="s">
        <v>137</v>
      </c>
      <c r="J23">
        <f>VLOOKUP("pH",parametros!A:C,2,FALSE)</f>
        <v>6.5</v>
      </c>
      <c r="K23">
        <f>VLOOKUP("pH",parametros!A:C,3,FALSE)</f>
        <v>8.5</v>
      </c>
      <c r="L23" t="str" cm="1">
        <f t="array" ref="L23">IF(AND(Table1__2[[#This Row],[pH]]&gt;=Table1__2[pH_Min],Table1__2[[#This Row],[pH]]&lt;=Table1__2[pH_Max]),"OK","Out")</f>
        <v>OK</v>
      </c>
      <c r="M23" t="str">
        <f>IF(D23&lt;=VLOOKUP("Turbidez_NTU",parametros!A:C,3,FALSE),"OK","Out")</f>
        <v>Out</v>
      </c>
      <c r="N23" t="str">
        <f>IF(F22&lt;=VLOOKUP("Cloruros_mgL",parametros!A:C,3,FALSE),"OK","Out")</f>
        <v>Out</v>
      </c>
      <c r="O23" t="str">
        <f t="shared" si="1"/>
        <v>NON-COMPLIANT</v>
      </c>
      <c r="P23" t="str">
        <f t="shared" si="0"/>
        <v>Medium Risk</v>
      </c>
    </row>
    <row r="24" spans="1:16" x14ac:dyDescent="0.3">
      <c r="A24" s="1">
        <v>45680</v>
      </c>
      <c r="B24" t="s">
        <v>18</v>
      </c>
      <c r="C24">
        <v>6.98</v>
      </c>
      <c r="D24">
        <v>6.07</v>
      </c>
      <c r="E24">
        <v>288.3</v>
      </c>
      <c r="F24">
        <v>271.60000000000002</v>
      </c>
      <c r="G24">
        <v>927.5</v>
      </c>
      <c r="H24" t="s">
        <v>10</v>
      </c>
      <c r="I24" t="s">
        <v>137</v>
      </c>
      <c r="J24">
        <f>VLOOKUP("pH",parametros!A:C,2,FALSE)</f>
        <v>6.5</v>
      </c>
      <c r="K24">
        <f>VLOOKUP("pH",parametros!A:C,3,FALSE)</f>
        <v>8.5</v>
      </c>
      <c r="L24" t="str" cm="1">
        <f t="array" ref="L24">IF(AND(Table1__2[[#This Row],[pH]]&gt;=Table1__2[pH_Min],Table1__2[[#This Row],[pH]]&lt;=Table1__2[pH_Max]),"OK","Out")</f>
        <v>OK</v>
      </c>
      <c r="M24" t="str">
        <f>IF(D24&lt;=VLOOKUP("Turbidez_NTU",parametros!A:C,3,FALSE),"OK","Out")</f>
        <v>Out</v>
      </c>
      <c r="N24" t="str">
        <f>IF(F23&lt;=VLOOKUP("Cloruros_mgL",parametros!A:C,3,FALSE),"OK","Out")</f>
        <v>OK</v>
      </c>
      <c r="O24" t="str">
        <f t="shared" si="1"/>
        <v>NON-COMPLIANT</v>
      </c>
      <c r="P24" t="str">
        <f t="shared" si="0"/>
        <v>Medium Risk</v>
      </c>
    </row>
    <row r="25" spans="1:16" x14ac:dyDescent="0.3">
      <c r="A25" s="1">
        <v>45681</v>
      </c>
      <c r="B25" t="s">
        <v>28</v>
      </c>
      <c r="C25">
        <v>6.91</v>
      </c>
      <c r="D25">
        <v>2.12</v>
      </c>
      <c r="E25">
        <v>271.89999999999998</v>
      </c>
      <c r="F25">
        <v>231</v>
      </c>
      <c r="G25">
        <v>457.2</v>
      </c>
      <c r="H25" t="s">
        <v>13</v>
      </c>
      <c r="I25" t="s">
        <v>137</v>
      </c>
      <c r="J25">
        <f>VLOOKUP("pH",parametros!A:C,2,FALSE)</f>
        <v>6.5</v>
      </c>
      <c r="K25">
        <f>VLOOKUP("pH",parametros!A:C,3,FALSE)</f>
        <v>8.5</v>
      </c>
      <c r="L25" t="str" cm="1">
        <f t="array" ref="L25">IF(AND(Table1__2[[#This Row],[pH]]&gt;=Table1__2[pH_Min],Table1__2[[#This Row],[pH]]&lt;=Table1__2[pH_Max]),"OK","Out")</f>
        <v>OK</v>
      </c>
      <c r="M25" t="str">
        <f>IF(D25&lt;=VLOOKUP("Turbidez_NTU",parametros!A:C,3,FALSE),"OK","Out")</f>
        <v>OK</v>
      </c>
      <c r="N25" t="str">
        <f>IF(F24&lt;=VLOOKUP("Cloruros_mgL",parametros!A:C,3,FALSE),"OK","Out")</f>
        <v>Out</v>
      </c>
      <c r="O25" t="str">
        <f t="shared" si="1"/>
        <v>NON-COMPLIANT</v>
      </c>
      <c r="P25" t="str">
        <f t="shared" si="0"/>
        <v>Medium Risk</v>
      </c>
    </row>
    <row r="26" spans="1:16" x14ac:dyDescent="0.3">
      <c r="A26" s="1">
        <v>45682</v>
      </c>
      <c r="B26" t="s">
        <v>12</v>
      </c>
      <c r="C26">
        <v>7.72</v>
      </c>
      <c r="D26">
        <v>8.26</v>
      </c>
      <c r="E26">
        <v>312.60000000000002</v>
      </c>
      <c r="F26">
        <v>154.30000000000001</v>
      </c>
      <c r="G26">
        <v>379.8</v>
      </c>
      <c r="H26" t="s">
        <v>10</v>
      </c>
      <c r="I26" t="s">
        <v>137</v>
      </c>
      <c r="J26">
        <f>VLOOKUP("pH",parametros!A:C,2,FALSE)</f>
        <v>6.5</v>
      </c>
      <c r="K26">
        <f>VLOOKUP("pH",parametros!A:C,3,FALSE)</f>
        <v>8.5</v>
      </c>
      <c r="L26" t="str" cm="1">
        <f t="array" ref="L26">IF(AND(Table1__2[[#This Row],[pH]]&gt;=Table1__2[pH_Min],Table1__2[[#This Row],[pH]]&lt;=Table1__2[pH_Max]),"OK","Out")</f>
        <v>OK</v>
      </c>
      <c r="M26" t="str">
        <f>IF(D26&lt;=VLOOKUP("Turbidez_NTU",parametros!A:C,3,FALSE),"OK","Out")</f>
        <v>Out</v>
      </c>
      <c r="N26" t="str">
        <f>IF(F25&lt;=VLOOKUP("Cloruros_mgL",parametros!A:C,3,FALSE),"OK","Out")</f>
        <v>OK</v>
      </c>
      <c r="O26" t="str">
        <f t="shared" si="1"/>
        <v>NON-COMPLIANT</v>
      </c>
      <c r="P26" t="str">
        <f t="shared" si="0"/>
        <v>Medium Risk</v>
      </c>
    </row>
    <row r="27" spans="1:16" x14ac:dyDescent="0.3">
      <c r="A27" s="1">
        <v>45683</v>
      </c>
      <c r="B27" t="s">
        <v>28</v>
      </c>
      <c r="C27">
        <v>7.24</v>
      </c>
      <c r="D27">
        <v>4.58</v>
      </c>
      <c r="E27">
        <v>110.5</v>
      </c>
      <c r="F27">
        <v>252.3</v>
      </c>
      <c r="G27">
        <v>547.9</v>
      </c>
      <c r="H27" t="s">
        <v>10</v>
      </c>
      <c r="I27" t="s">
        <v>137</v>
      </c>
      <c r="J27">
        <f>VLOOKUP("pH",parametros!A:C,2,FALSE)</f>
        <v>6.5</v>
      </c>
      <c r="K27">
        <f>VLOOKUP("pH",parametros!A:C,3,FALSE)</f>
        <v>8.5</v>
      </c>
      <c r="L27" t="str" cm="1">
        <f t="array" ref="L27">IF(AND(Table1__2[[#This Row],[pH]]&gt;=Table1__2[pH_Min],Table1__2[[#This Row],[pH]]&lt;=Table1__2[pH_Max]),"OK","Out")</f>
        <v>OK</v>
      </c>
      <c r="M27" t="str">
        <f>IF(D27&lt;=VLOOKUP("Turbidez_NTU",parametros!A:C,3,FALSE),"OK","Out")</f>
        <v>OK</v>
      </c>
      <c r="N27" t="str">
        <f>IF(F26&lt;=VLOOKUP("Cloruros_mgL",parametros!A:C,3,FALSE),"OK","Out")</f>
        <v>OK</v>
      </c>
      <c r="O27" t="str">
        <f t="shared" si="1"/>
        <v>COMPLIES</v>
      </c>
      <c r="P27" t="str">
        <f t="shared" si="0"/>
        <v>Medium Risk</v>
      </c>
    </row>
    <row r="28" spans="1:16" x14ac:dyDescent="0.3">
      <c r="A28" s="1">
        <v>45684</v>
      </c>
      <c r="B28" t="s">
        <v>28</v>
      </c>
      <c r="C28">
        <v>7.94</v>
      </c>
      <c r="D28">
        <v>4.8499999999999996</v>
      </c>
      <c r="E28">
        <v>192.3</v>
      </c>
      <c r="F28">
        <v>254</v>
      </c>
      <c r="G28">
        <v>188.3</v>
      </c>
      <c r="H28" t="s">
        <v>10</v>
      </c>
      <c r="I28" t="s">
        <v>137</v>
      </c>
      <c r="J28">
        <f>VLOOKUP("pH",parametros!A:C,2,FALSE)</f>
        <v>6.5</v>
      </c>
      <c r="K28">
        <f>VLOOKUP("pH",parametros!A:C,3,FALSE)</f>
        <v>8.5</v>
      </c>
      <c r="L28" t="str" cm="1">
        <f t="array" ref="L28">IF(AND(Table1__2[[#This Row],[pH]]&gt;=Table1__2[pH_Min],Table1__2[[#This Row],[pH]]&lt;=Table1__2[pH_Max]),"OK","Out")</f>
        <v>OK</v>
      </c>
      <c r="M28" t="str">
        <f>IF(D28&lt;=VLOOKUP("Turbidez_NTU",parametros!A:C,3,FALSE),"OK","Out")</f>
        <v>OK</v>
      </c>
      <c r="N28" t="str">
        <f>IF(F27&lt;=VLOOKUP("Cloruros_mgL",parametros!A:C,3,FALSE),"OK","Out")</f>
        <v>Out</v>
      </c>
      <c r="O28" t="str">
        <f t="shared" si="1"/>
        <v>NON-COMPLIANT</v>
      </c>
      <c r="P28" t="str">
        <f t="shared" si="0"/>
        <v>Medium Risk</v>
      </c>
    </row>
    <row r="29" spans="1:16" x14ac:dyDescent="0.3">
      <c r="A29" s="1">
        <v>45685</v>
      </c>
      <c r="B29" t="s">
        <v>18</v>
      </c>
      <c r="C29">
        <v>8.51</v>
      </c>
      <c r="D29">
        <v>8.93</v>
      </c>
      <c r="E29">
        <v>316.10000000000002</v>
      </c>
      <c r="F29">
        <v>65.599999999999994</v>
      </c>
      <c r="G29">
        <v>822.2</v>
      </c>
      <c r="H29" t="s">
        <v>10</v>
      </c>
      <c r="I29" t="s">
        <v>137</v>
      </c>
      <c r="J29">
        <f>VLOOKUP("pH",parametros!A:C,2,FALSE)</f>
        <v>6.5</v>
      </c>
      <c r="K29">
        <f>VLOOKUP("pH",parametros!A:C,3,FALSE)</f>
        <v>8.5</v>
      </c>
      <c r="L29" t="str" cm="1">
        <f t="array" ref="L29">IF(AND(Table1__2[[#This Row],[pH]]&gt;=Table1__2[pH_Min],Table1__2[[#This Row],[pH]]&lt;=Table1__2[pH_Max]),"OK","Out")</f>
        <v>Out</v>
      </c>
      <c r="M29" t="str">
        <f>IF(D29&lt;=VLOOKUP("Turbidez_NTU",parametros!A:C,3,FALSE),"OK","Out")</f>
        <v>Out</v>
      </c>
      <c r="N29" t="str">
        <f>IF(F28&lt;=VLOOKUP("Cloruros_mgL",parametros!A:C,3,FALSE),"OK","Out")</f>
        <v>Out</v>
      </c>
      <c r="O29" t="str">
        <f t="shared" si="1"/>
        <v>NON-COMPLIANT</v>
      </c>
      <c r="P29" t="str">
        <f t="shared" si="0"/>
        <v>Medium Risk</v>
      </c>
    </row>
    <row r="30" spans="1:16" x14ac:dyDescent="0.3">
      <c r="A30" s="1">
        <v>45686</v>
      </c>
      <c r="B30" t="s">
        <v>22</v>
      </c>
      <c r="C30">
        <v>6.04</v>
      </c>
      <c r="D30">
        <v>9.11</v>
      </c>
      <c r="E30">
        <v>302.10000000000002</v>
      </c>
      <c r="F30">
        <v>200.8</v>
      </c>
      <c r="G30">
        <v>153.69999999999999</v>
      </c>
      <c r="H30" t="s">
        <v>10</v>
      </c>
      <c r="I30" t="s">
        <v>137</v>
      </c>
      <c r="J30">
        <f>VLOOKUP("pH",parametros!A:C,2,FALSE)</f>
        <v>6.5</v>
      </c>
      <c r="K30">
        <f>VLOOKUP("pH",parametros!A:C,3,FALSE)</f>
        <v>8.5</v>
      </c>
      <c r="L30" t="str" cm="1">
        <f t="array" ref="L30">IF(AND(Table1__2[[#This Row],[pH]]&gt;=Table1__2[pH_Min],Table1__2[[#This Row],[pH]]&lt;=Table1__2[pH_Max]),"OK","Out")</f>
        <v>Out</v>
      </c>
      <c r="M30" t="str">
        <f>IF(D30&lt;=VLOOKUP("Turbidez_NTU",parametros!A:C,3,FALSE),"OK","Out")</f>
        <v>Out</v>
      </c>
      <c r="N30" t="str">
        <f>IF(F29&lt;=VLOOKUP("Cloruros_mgL",parametros!A:C,3,FALSE),"OK","Out")</f>
        <v>OK</v>
      </c>
      <c r="O30" t="str">
        <f t="shared" si="1"/>
        <v>NON-COMPLIANT</v>
      </c>
      <c r="P30" t="str">
        <f t="shared" si="0"/>
        <v>Medium Risk</v>
      </c>
    </row>
    <row r="31" spans="1:16" x14ac:dyDescent="0.3">
      <c r="A31" s="1">
        <v>45687</v>
      </c>
      <c r="B31" t="s">
        <v>16</v>
      </c>
      <c r="C31">
        <v>7.17</v>
      </c>
      <c r="D31">
        <v>3.74</v>
      </c>
      <c r="E31">
        <v>317.60000000000002</v>
      </c>
      <c r="F31">
        <v>131.30000000000001</v>
      </c>
      <c r="G31">
        <v>1115.3</v>
      </c>
      <c r="H31" t="s">
        <v>13</v>
      </c>
      <c r="I31" t="s">
        <v>137</v>
      </c>
      <c r="J31">
        <f>VLOOKUP("pH",parametros!A:C,2,FALSE)</f>
        <v>6.5</v>
      </c>
      <c r="K31">
        <f>VLOOKUP("pH",parametros!A:C,3,FALSE)</f>
        <v>8.5</v>
      </c>
      <c r="L31" t="str" cm="1">
        <f t="array" ref="L31">IF(AND(Table1__2[[#This Row],[pH]]&gt;=Table1__2[pH_Min],Table1__2[[#This Row],[pH]]&lt;=Table1__2[pH_Max]),"OK","Out")</f>
        <v>OK</v>
      </c>
      <c r="M31" t="str">
        <f>IF(D31&lt;=VLOOKUP("Turbidez_NTU",parametros!A:C,3,FALSE),"OK","Out")</f>
        <v>OK</v>
      </c>
      <c r="N31" t="str">
        <f>IF(F30&lt;=VLOOKUP("Cloruros_mgL",parametros!A:C,3,FALSE),"OK","Out")</f>
        <v>OK</v>
      </c>
      <c r="O31" t="str">
        <f t="shared" si="1"/>
        <v>COMPLIES</v>
      </c>
      <c r="P31" t="str">
        <f t="shared" si="0"/>
        <v>Medium Risk</v>
      </c>
    </row>
    <row r="32" spans="1:16" x14ac:dyDescent="0.3">
      <c r="A32" s="1">
        <v>45688</v>
      </c>
      <c r="B32" t="s">
        <v>16</v>
      </c>
      <c r="C32">
        <v>7.11</v>
      </c>
      <c r="D32">
        <v>2.97</v>
      </c>
      <c r="E32">
        <v>311.8</v>
      </c>
      <c r="F32">
        <v>259.60000000000002</v>
      </c>
      <c r="G32">
        <v>202.1</v>
      </c>
      <c r="H32" t="s">
        <v>10</v>
      </c>
      <c r="I32" t="s">
        <v>137</v>
      </c>
      <c r="J32">
        <f>VLOOKUP("pH",parametros!A:C,2,FALSE)</f>
        <v>6.5</v>
      </c>
      <c r="K32">
        <f>VLOOKUP("pH",parametros!A:C,3,FALSE)</f>
        <v>8.5</v>
      </c>
      <c r="L32" t="str" cm="1">
        <f t="array" ref="L32">IF(AND(Table1__2[[#This Row],[pH]]&gt;=Table1__2[pH_Min],Table1__2[[#This Row],[pH]]&lt;=Table1__2[pH_Max]),"OK","Out")</f>
        <v>OK</v>
      </c>
      <c r="M32" t="str">
        <f>IF(D32&lt;=VLOOKUP("Turbidez_NTU",parametros!A:C,3,FALSE),"OK","Out")</f>
        <v>OK</v>
      </c>
      <c r="N32" t="str">
        <f>IF(F31&lt;=VLOOKUP("Cloruros_mgL",parametros!A:C,3,FALSE),"OK","Out")</f>
        <v>OK</v>
      </c>
      <c r="O32" t="str">
        <f t="shared" si="1"/>
        <v>COMPLIES</v>
      </c>
      <c r="P32" t="str">
        <f t="shared" si="0"/>
        <v>Medium Risk</v>
      </c>
    </row>
    <row r="33" spans="1:16" x14ac:dyDescent="0.3">
      <c r="A33" s="1">
        <v>45689</v>
      </c>
      <c r="B33" t="s">
        <v>12</v>
      </c>
      <c r="C33">
        <v>8.61</v>
      </c>
      <c r="D33">
        <v>3.75</v>
      </c>
      <c r="E33">
        <v>81.099999999999994</v>
      </c>
      <c r="F33">
        <v>52</v>
      </c>
      <c r="G33">
        <v>770.1</v>
      </c>
      <c r="H33" t="s">
        <v>10</v>
      </c>
      <c r="I33" t="s">
        <v>137</v>
      </c>
      <c r="J33">
        <f>VLOOKUP("pH",parametros!A:C,2,FALSE)</f>
        <v>6.5</v>
      </c>
      <c r="K33">
        <f>VLOOKUP("pH",parametros!A:C,3,FALSE)</f>
        <v>8.5</v>
      </c>
      <c r="L33" t="str" cm="1">
        <f t="array" ref="L33">IF(AND(Table1__2[[#This Row],[pH]]&gt;=Table1__2[pH_Min],Table1__2[[#This Row],[pH]]&lt;=Table1__2[pH_Max]),"OK","Out")</f>
        <v>Out</v>
      </c>
      <c r="M33" t="str">
        <f>IF(D33&lt;=VLOOKUP("Turbidez_NTU",parametros!A:C,3,FALSE),"OK","Out")</f>
        <v>OK</v>
      </c>
      <c r="N33" t="str">
        <f>IF(F32&lt;=VLOOKUP("Cloruros_mgL",parametros!A:C,3,FALSE),"OK","Out")</f>
        <v>Out</v>
      </c>
      <c r="O33" t="str">
        <f t="shared" si="1"/>
        <v>NON-COMPLIANT</v>
      </c>
      <c r="P33" t="str">
        <f t="shared" si="0"/>
        <v>Medium Risk</v>
      </c>
    </row>
    <row r="34" spans="1:16" x14ac:dyDescent="0.3">
      <c r="A34" s="1">
        <v>45690</v>
      </c>
      <c r="B34" t="s">
        <v>9</v>
      </c>
      <c r="C34">
        <v>8.11</v>
      </c>
      <c r="D34">
        <v>9.2200000000000006</v>
      </c>
      <c r="E34">
        <v>319</v>
      </c>
      <c r="F34">
        <v>112.3</v>
      </c>
      <c r="G34">
        <v>267.60000000000002</v>
      </c>
      <c r="H34" t="s">
        <v>10</v>
      </c>
      <c r="I34" t="s">
        <v>137</v>
      </c>
      <c r="J34">
        <f>VLOOKUP("pH",parametros!A:C,2,FALSE)</f>
        <v>6.5</v>
      </c>
      <c r="K34">
        <f>VLOOKUP("pH",parametros!A:C,3,FALSE)</f>
        <v>8.5</v>
      </c>
      <c r="L34" t="str" cm="1">
        <f t="array" ref="L34">IF(AND(Table1__2[[#This Row],[pH]]&gt;=Table1__2[pH_Min],Table1__2[[#This Row],[pH]]&lt;=Table1__2[pH_Max]),"OK","Out")</f>
        <v>OK</v>
      </c>
      <c r="M34" t="str">
        <f>IF(D34&lt;=VLOOKUP("Turbidez_NTU",parametros!A:C,3,FALSE),"OK","Out")</f>
        <v>Out</v>
      </c>
      <c r="N34" t="str">
        <f>IF(F33&lt;=VLOOKUP("Cloruros_mgL",parametros!A:C,3,FALSE),"OK","Out")</f>
        <v>OK</v>
      </c>
      <c r="O34" t="str">
        <f t="shared" ref="O34:O65" si="2">IF(AND(L34="OK",M34="OK",N34="OK"),"COMPLIES","NON-COMPLIANT")</f>
        <v>NON-COMPLIANT</v>
      </c>
      <c r="P34" t="str">
        <f t="shared" ref="P34:P65" si="3">IF(H34="COMPLIES","Safe",IF(D34&gt;10,"Critical","Medium Risk"))</f>
        <v>Medium Risk</v>
      </c>
    </row>
    <row r="35" spans="1:16" x14ac:dyDescent="0.3">
      <c r="A35" s="1">
        <v>45691</v>
      </c>
      <c r="B35" t="s">
        <v>9</v>
      </c>
      <c r="C35">
        <v>8.43</v>
      </c>
      <c r="D35">
        <v>6.34</v>
      </c>
      <c r="E35">
        <v>132.9</v>
      </c>
      <c r="F35">
        <v>144.19999999999999</v>
      </c>
      <c r="G35">
        <v>877</v>
      </c>
      <c r="H35" t="s">
        <v>10</v>
      </c>
      <c r="I35" t="s">
        <v>137</v>
      </c>
      <c r="J35">
        <f>VLOOKUP("pH",parametros!A:C,2,FALSE)</f>
        <v>6.5</v>
      </c>
      <c r="K35">
        <f>VLOOKUP("pH",parametros!A:C,3,FALSE)</f>
        <v>8.5</v>
      </c>
      <c r="L35" t="str" cm="1">
        <f t="array" ref="L35">IF(AND(Table1__2[[#This Row],[pH]]&gt;=Table1__2[pH_Min],Table1__2[[#This Row],[pH]]&lt;=Table1__2[pH_Max]),"OK","Out")</f>
        <v>OK</v>
      </c>
      <c r="M35" t="str">
        <f>IF(D35&lt;=VLOOKUP("Turbidez_NTU",parametros!A:C,3,FALSE),"OK","Out")</f>
        <v>Out</v>
      </c>
      <c r="N35" t="str">
        <f>IF(F34&lt;=VLOOKUP("Cloruros_mgL",parametros!A:C,3,FALSE),"OK","Out")</f>
        <v>OK</v>
      </c>
      <c r="O35" t="str">
        <f t="shared" si="2"/>
        <v>NON-COMPLIANT</v>
      </c>
      <c r="P35" t="str">
        <f t="shared" si="3"/>
        <v>Medium Risk</v>
      </c>
    </row>
    <row r="36" spans="1:16" x14ac:dyDescent="0.3">
      <c r="A36" s="1">
        <v>45692</v>
      </c>
      <c r="B36" t="s">
        <v>12</v>
      </c>
      <c r="C36">
        <v>7.96</v>
      </c>
      <c r="D36">
        <v>4</v>
      </c>
      <c r="E36">
        <v>316.39999999999998</v>
      </c>
      <c r="F36">
        <v>97.5</v>
      </c>
      <c r="G36">
        <v>513.70000000000005</v>
      </c>
      <c r="H36" t="s">
        <v>13</v>
      </c>
      <c r="I36" t="s">
        <v>137</v>
      </c>
      <c r="J36">
        <f>VLOOKUP("pH",parametros!A:C,2,FALSE)</f>
        <v>6.5</v>
      </c>
      <c r="K36">
        <f>VLOOKUP("pH",parametros!A:C,3,FALSE)</f>
        <v>8.5</v>
      </c>
      <c r="L36" t="str" cm="1">
        <f t="array" ref="L36">IF(AND(Table1__2[[#This Row],[pH]]&gt;=Table1__2[pH_Min],Table1__2[[#This Row],[pH]]&lt;=Table1__2[pH_Max]),"OK","Out")</f>
        <v>OK</v>
      </c>
      <c r="M36" t="str">
        <f>IF(D36&lt;=VLOOKUP("Turbidez_NTU",parametros!A:C,3,FALSE),"OK","Out")</f>
        <v>OK</v>
      </c>
      <c r="N36" t="str">
        <f>IF(F35&lt;=VLOOKUP("Cloruros_mgL",parametros!A:C,3,FALSE),"OK","Out")</f>
        <v>OK</v>
      </c>
      <c r="O36" t="str">
        <f t="shared" si="2"/>
        <v>COMPLIES</v>
      </c>
      <c r="P36" t="str">
        <f t="shared" si="3"/>
        <v>Medium Risk</v>
      </c>
    </row>
    <row r="37" spans="1:16" x14ac:dyDescent="0.3">
      <c r="A37" s="1">
        <v>45693</v>
      </c>
      <c r="B37" t="s">
        <v>18</v>
      </c>
      <c r="C37">
        <v>6.75</v>
      </c>
      <c r="D37">
        <v>7.6</v>
      </c>
      <c r="E37">
        <v>278.7</v>
      </c>
      <c r="F37">
        <v>139.9</v>
      </c>
      <c r="G37">
        <v>997.5</v>
      </c>
      <c r="H37" t="s">
        <v>10</v>
      </c>
      <c r="I37" t="s">
        <v>137</v>
      </c>
      <c r="J37">
        <f>VLOOKUP("pH",parametros!A:C,2,FALSE)</f>
        <v>6.5</v>
      </c>
      <c r="K37">
        <f>VLOOKUP("pH",parametros!A:C,3,FALSE)</f>
        <v>8.5</v>
      </c>
      <c r="L37" t="str" cm="1">
        <f t="array" ref="L37">IF(AND(Table1__2[[#This Row],[pH]]&gt;=Table1__2[pH_Min],Table1__2[[#This Row],[pH]]&lt;=Table1__2[pH_Max]),"OK","Out")</f>
        <v>OK</v>
      </c>
      <c r="M37" t="str">
        <f>IF(D37&lt;=VLOOKUP("Turbidez_NTU",parametros!A:C,3,FALSE),"OK","Out")</f>
        <v>Out</v>
      </c>
      <c r="N37" t="str">
        <f>IF(F36&lt;=VLOOKUP("Cloruros_mgL",parametros!A:C,3,FALSE),"OK","Out")</f>
        <v>OK</v>
      </c>
      <c r="O37" t="str">
        <f t="shared" si="2"/>
        <v>NON-COMPLIANT</v>
      </c>
      <c r="P37" t="str">
        <f t="shared" si="3"/>
        <v>Medium Risk</v>
      </c>
    </row>
    <row r="38" spans="1:16" x14ac:dyDescent="0.3">
      <c r="A38" s="1">
        <v>45694</v>
      </c>
      <c r="B38" t="s">
        <v>9</v>
      </c>
      <c r="C38">
        <v>6.06</v>
      </c>
      <c r="D38">
        <v>8.8800000000000008</v>
      </c>
      <c r="E38">
        <v>294.7</v>
      </c>
      <c r="F38">
        <v>107.6</v>
      </c>
      <c r="G38">
        <v>975.8</v>
      </c>
      <c r="H38" t="s">
        <v>10</v>
      </c>
      <c r="I38" t="s">
        <v>137</v>
      </c>
      <c r="J38">
        <f>VLOOKUP("pH",parametros!A:C,2,FALSE)</f>
        <v>6.5</v>
      </c>
      <c r="K38">
        <f>VLOOKUP("pH",parametros!A:C,3,FALSE)</f>
        <v>8.5</v>
      </c>
      <c r="L38" t="str" cm="1">
        <f t="array" ref="L38">IF(AND(Table1__2[[#This Row],[pH]]&gt;=Table1__2[pH_Min],Table1__2[[#This Row],[pH]]&lt;=Table1__2[pH_Max]),"OK","Out")</f>
        <v>Out</v>
      </c>
      <c r="M38" t="str">
        <f>IF(D38&lt;=VLOOKUP("Turbidez_NTU",parametros!A:C,3,FALSE),"OK","Out")</f>
        <v>Out</v>
      </c>
      <c r="N38" t="str">
        <f>IF(F37&lt;=VLOOKUP("Cloruros_mgL",parametros!A:C,3,FALSE),"OK","Out")</f>
        <v>OK</v>
      </c>
      <c r="O38" t="str">
        <f t="shared" si="2"/>
        <v>NON-COMPLIANT</v>
      </c>
      <c r="P38" t="str">
        <f t="shared" si="3"/>
        <v>Medium Risk</v>
      </c>
    </row>
    <row r="39" spans="1:16" x14ac:dyDescent="0.3">
      <c r="A39" s="1">
        <v>45695</v>
      </c>
      <c r="B39" t="s">
        <v>28</v>
      </c>
      <c r="C39">
        <v>7.64</v>
      </c>
      <c r="D39">
        <v>3.66</v>
      </c>
      <c r="E39">
        <v>167.4</v>
      </c>
      <c r="F39">
        <v>156.5</v>
      </c>
      <c r="G39">
        <v>552.1</v>
      </c>
      <c r="H39" t="s">
        <v>13</v>
      </c>
      <c r="I39" t="s">
        <v>137</v>
      </c>
      <c r="J39">
        <f>VLOOKUP("pH",parametros!A:C,2,FALSE)</f>
        <v>6.5</v>
      </c>
      <c r="K39">
        <f>VLOOKUP("pH",parametros!A:C,3,FALSE)</f>
        <v>8.5</v>
      </c>
      <c r="L39" t="str" cm="1">
        <f t="array" ref="L39">IF(AND(Table1__2[[#This Row],[pH]]&gt;=Table1__2[pH_Min],Table1__2[[#This Row],[pH]]&lt;=Table1__2[pH_Max]),"OK","Out")</f>
        <v>OK</v>
      </c>
      <c r="M39" t="str">
        <f>IF(D39&lt;=VLOOKUP("Turbidez_NTU",parametros!A:C,3,FALSE),"OK","Out")</f>
        <v>OK</v>
      </c>
      <c r="N39" t="str">
        <f>IF(F38&lt;=VLOOKUP("Cloruros_mgL",parametros!A:C,3,FALSE),"OK","Out")</f>
        <v>OK</v>
      </c>
      <c r="O39" t="str">
        <f t="shared" si="2"/>
        <v>COMPLIES</v>
      </c>
      <c r="P39" t="str">
        <f t="shared" si="3"/>
        <v>Medium Risk</v>
      </c>
    </row>
    <row r="40" spans="1:16" x14ac:dyDescent="0.3">
      <c r="A40" s="1">
        <v>45696</v>
      </c>
      <c r="B40" t="s">
        <v>28</v>
      </c>
      <c r="C40">
        <v>6.69</v>
      </c>
      <c r="D40">
        <v>9.2200000000000006</v>
      </c>
      <c r="E40">
        <v>264.2</v>
      </c>
      <c r="F40">
        <v>14.9</v>
      </c>
      <c r="G40">
        <v>981.1</v>
      </c>
      <c r="H40" t="s">
        <v>10</v>
      </c>
      <c r="I40" t="s">
        <v>137</v>
      </c>
      <c r="J40">
        <f>VLOOKUP("pH",parametros!A:C,2,FALSE)</f>
        <v>6.5</v>
      </c>
      <c r="K40">
        <f>VLOOKUP("pH",parametros!A:C,3,FALSE)</f>
        <v>8.5</v>
      </c>
      <c r="L40" t="str" cm="1">
        <f t="array" ref="L40">IF(AND(Table1__2[[#This Row],[pH]]&gt;=Table1__2[pH_Min],Table1__2[[#This Row],[pH]]&lt;=Table1__2[pH_Max]),"OK","Out")</f>
        <v>OK</v>
      </c>
      <c r="M40" t="str">
        <f>IF(D40&lt;=VLOOKUP("Turbidez_NTU",parametros!A:C,3,FALSE),"OK","Out")</f>
        <v>Out</v>
      </c>
      <c r="N40" t="str">
        <f>IF(F39&lt;=VLOOKUP("Cloruros_mgL",parametros!A:C,3,FALSE),"OK","Out")</f>
        <v>OK</v>
      </c>
      <c r="O40" t="str">
        <f t="shared" si="2"/>
        <v>NON-COMPLIANT</v>
      </c>
      <c r="P40" t="str">
        <f t="shared" si="3"/>
        <v>Medium Risk</v>
      </c>
    </row>
    <row r="41" spans="1:16" x14ac:dyDescent="0.3">
      <c r="A41" s="1">
        <v>45697</v>
      </c>
      <c r="B41" t="s">
        <v>16</v>
      </c>
      <c r="C41">
        <v>8.41</v>
      </c>
      <c r="D41">
        <v>1.07</v>
      </c>
      <c r="E41">
        <v>264.3</v>
      </c>
      <c r="F41">
        <v>190.3</v>
      </c>
      <c r="G41">
        <v>578.5</v>
      </c>
      <c r="H41" t="s">
        <v>13</v>
      </c>
      <c r="I41" t="s">
        <v>137</v>
      </c>
      <c r="J41">
        <f>VLOOKUP("pH",parametros!A:C,2,FALSE)</f>
        <v>6.5</v>
      </c>
      <c r="K41">
        <f>VLOOKUP("pH",parametros!A:C,3,FALSE)</f>
        <v>8.5</v>
      </c>
      <c r="L41" t="str" cm="1">
        <f t="array" ref="L41">IF(AND(Table1__2[[#This Row],[pH]]&gt;=Table1__2[pH_Min],Table1__2[[#This Row],[pH]]&lt;=Table1__2[pH_Max]),"OK","Out")</f>
        <v>OK</v>
      </c>
      <c r="M41" t="str">
        <f>IF(D41&lt;=VLOOKUP("Turbidez_NTU",parametros!A:C,3,FALSE),"OK","Out")</f>
        <v>OK</v>
      </c>
      <c r="N41" t="str">
        <f>IF(F40&lt;=VLOOKUP("Cloruros_mgL",parametros!A:C,3,FALSE),"OK","Out")</f>
        <v>OK</v>
      </c>
      <c r="O41" t="str">
        <f t="shared" si="2"/>
        <v>COMPLIES</v>
      </c>
      <c r="P41" t="str">
        <f t="shared" si="3"/>
        <v>Medium Risk</v>
      </c>
    </row>
    <row r="42" spans="1:16" x14ac:dyDescent="0.3">
      <c r="A42" s="1">
        <v>45698</v>
      </c>
      <c r="B42" t="s">
        <v>9</v>
      </c>
      <c r="C42">
        <v>7.06</v>
      </c>
      <c r="D42">
        <v>1.1399999999999999</v>
      </c>
      <c r="E42">
        <v>146.69999999999999</v>
      </c>
      <c r="F42">
        <v>222.7</v>
      </c>
      <c r="G42">
        <v>296.3</v>
      </c>
      <c r="H42" t="s">
        <v>13</v>
      </c>
      <c r="I42" t="s">
        <v>137</v>
      </c>
      <c r="J42">
        <f>VLOOKUP("pH",parametros!A:C,2,FALSE)</f>
        <v>6.5</v>
      </c>
      <c r="K42">
        <f>VLOOKUP("pH",parametros!A:C,3,FALSE)</f>
        <v>8.5</v>
      </c>
      <c r="L42" t="str" cm="1">
        <f t="array" ref="L42">IF(AND(Table1__2[[#This Row],[pH]]&gt;=Table1__2[pH_Min],Table1__2[[#This Row],[pH]]&lt;=Table1__2[pH_Max]),"OK","Out")</f>
        <v>OK</v>
      </c>
      <c r="M42" t="str">
        <f>IF(D42&lt;=VLOOKUP("Turbidez_NTU",parametros!A:C,3,FALSE),"OK","Out")</f>
        <v>OK</v>
      </c>
      <c r="N42" t="str">
        <f>IF(F41&lt;=VLOOKUP("Cloruros_mgL",parametros!A:C,3,FALSE),"OK","Out")</f>
        <v>OK</v>
      </c>
      <c r="O42" t="str">
        <f t="shared" si="2"/>
        <v>COMPLIES</v>
      </c>
      <c r="P42" t="str">
        <f t="shared" si="3"/>
        <v>Medium Risk</v>
      </c>
    </row>
    <row r="43" spans="1:16" x14ac:dyDescent="0.3">
      <c r="A43" s="1">
        <v>45699</v>
      </c>
      <c r="B43" t="s">
        <v>22</v>
      </c>
      <c r="C43">
        <v>7.96</v>
      </c>
      <c r="D43">
        <v>6.04</v>
      </c>
      <c r="E43">
        <v>278</v>
      </c>
      <c r="F43">
        <v>95.4</v>
      </c>
      <c r="G43">
        <v>535.1</v>
      </c>
      <c r="H43" t="s">
        <v>10</v>
      </c>
      <c r="I43" t="s">
        <v>137</v>
      </c>
      <c r="J43">
        <f>VLOOKUP("pH",parametros!A:C,2,FALSE)</f>
        <v>6.5</v>
      </c>
      <c r="K43">
        <f>VLOOKUP("pH",parametros!A:C,3,FALSE)</f>
        <v>8.5</v>
      </c>
      <c r="L43" t="str" cm="1">
        <f t="array" ref="L43">IF(AND(Table1__2[[#This Row],[pH]]&gt;=Table1__2[pH_Min],Table1__2[[#This Row],[pH]]&lt;=Table1__2[pH_Max]),"OK","Out")</f>
        <v>OK</v>
      </c>
      <c r="M43" t="str">
        <f>IF(D43&lt;=VLOOKUP("Turbidez_NTU",parametros!A:C,3,FALSE),"OK","Out")</f>
        <v>Out</v>
      </c>
      <c r="N43" t="str">
        <f>IF(F42&lt;=VLOOKUP("Cloruros_mgL",parametros!A:C,3,FALSE),"OK","Out")</f>
        <v>OK</v>
      </c>
      <c r="O43" t="str">
        <f t="shared" si="2"/>
        <v>NON-COMPLIANT</v>
      </c>
      <c r="P43" t="str">
        <f t="shared" si="3"/>
        <v>Medium Risk</v>
      </c>
    </row>
    <row r="44" spans="1:16" x14ac:dyDescent="0.3">
      <c r="A44" s="1">
        <v>45700</v>
      </c>
      <c r="B44" t="s">
        <v>18</v>
      </c>
      <c r="C44">
        <v>7.46</v>
      </c>
      <c r="D44">
        <v>0.99</v>
      </c>
      <c r="E44">
        <v>183.7</v>
      </c>
      <c r="F44">
        <v>76.400000000000006</v>
      </c>
      <c r="G44">
        <v>152.5</v>
      </c>
      <c r="H44" t="s">
        <v>13</v>
      </c>
      <c r="I44" t="s">
        <v>137</v>
      </c>
      <c r="J44">
        <f>VLOOKUP("pH",parametros!A:C,2,FALSE)</f>
        <v>6.5</v>
      </c>
      <c r="K44">
        <f>VLOOKUP("pH",parametros!A:C,3,FALSE)</f>
        <v>8.5</v>
      </c>
      <c r="L44" t="str" cm="1">
        <f t="array" ref="L44">IF(AND(Table1__2[[#This Row],[pH]]&gt;=Table1__2[pH_Min],Table1__2[[#This Row],[pH]]&lt;=Table1__2[pH_Max]),"OK","Out")</f>
        <v>OK</v>
      </c>
      <c r="M44" t="str">
        <f>IF(D44&lt;=VLOOKUP("Turbidez_NTU",parametros!A:C,3,FALSE),"OK","Out")</f>
        <v>OK</v>
      </c>
      <c r="N44" t="str">
        <f>IF(F43&lt;=VLOOKUP("Cloruros_mgL",parametros!A:C,3,FALSE),"OK","Out")</f>
        <v>OK</v>
      </c>
      <c r="O44" t="str">
        <f t="shared" si="2"/>
        <v>COMPLIES</v>
      </c>
      <c r="P44" t="str">
        <f t="shared" si="3"/>
        <v>Medium Risk</v>
      </c>
    </row>
    <row r="45" spans="1:16" x14ac:dyDescent="0.3">
      <c r="A45" s="1">
        <v>45701</v>
      </c>
      <c r="B45" t="s">
        <v>22</v>
      </c>
      <c r="C45">
        <v>8.7799999999999994</v>
      </c>
      <c r="D45">
        <v>10.49</v>
      </c>
      <c r="E45">
        <v>121.8</v>
      </c>
      <c r="F45">
        <v>159.4</v>
      </c>
      <c r="G45">
        <v>566.29999999999995</v>
      </c>
      <c r="H45" t="s">
        <v>10</v>
      </c>
      <c r="I45" t="s">
        <v>137</v>
      </c>
      <c r="J45">
        <f>VLOOKUP("pH",parametros!A:C,2,FALSE)</f>
        <v>6.5</v>
      </c>
      <c r="K45">
        <f>VLOOKUP("pH",parametros!A:C,3,FALSE)</f>
        <v>8.5</v>
      </c>
      <c r="L45" t="str" cm="1">
        <f t="array" ref="L45">IF(AND(Table1__2[[#This Row],[pH]]&gt;=Table1__2[pH_Min],Table1__2[[#This Row],[pH]]&lt;=Table1__2[pH_Max]),"OK","Out")</f>
        <v>Out</v>
      </c>
      <c r="M45" t="str">
        <f>IF(D45&lt;=VLOOKUP("Turbidez_NTU",parametros!A:C,3,FALSE),"OK","Out")</f>
        <v>Out</v>
      </c>
      <c r="N45" t="str">
        <f>IF(F44&lt;=VLOOKUP("Cloruros_mgL",parametros!A:C,3,FALSE),"OK","Out")</f>
        <v>OK</v>
      </c>
      <c r="O45" t="str">
        <f t="shared" si="2"/>
        <v>NON-COMPLIANT</v>
      </c>
      <c r="P45" t="str">
        <f t="shared" si="3"/>
        <v>Critical</v>
      </c>
    </row>
    <row r="46" spans="1:16" x14ac:dyDescent="0.3">
      <c r="A46" s="1">
        <v>45702</v>
      </c>
      <c r="B46" t="s">
        <v>16</v>
      </c>
      <c r="C46">
        <v>7.11</v>
      </c>
      <c r="D46">
        <v>5.45</v>
      </c>
      <c r="E46">
        <v>195.1</v>
      </c>
      <c r="F46">
        <v>71.8</v>
      </c>
      <c r="G46">
        <v>207.9</v>
      </c>
      <c r="H46" t="s">
        <v>10</v>
      </c>
      <c r="I46" t="s">
        <v>137</v>
      </c>
      <c r="J46">
        <f>VLOOKUP("pH",parametros!A:C,2,FALSE)</f>
        <v>6.5</v>
      </c>
      <c r="K46">
        <f>VLOOKUP("pH",parametros!A:C,3,FALSE)</f>
        <v>8.5</v>
      </c>
      <c r="L46" t="str" cm="1">
        <f t="array" ref="L46">IF(AND(Table1__2[[#This Row],[pH]]&gt;=Table1__2[pH_Min],Table1__2[[#This Row],[pH]]&lt;=Table1__2[pH_Max]),"OK","Out")</f>
        <v>OK</v>
      </c>
      <c r="M46" t="str">
        <f>IF(D46&lt;=VLOOKUP("Turbidez_NTU",parametros!A:C,3,FALSE),"OK","Out")</f>
        <v>Out</v>
      </c>
      <c r="N46" t="str">
        <f>IF(F45&lt;=VLOOKUP("Cloruros_mgL",parametros!A:C,3,FALSE),"OK","Out")</f>
        <v>OK</v>
      </c>
      <c r="O46" t="str">
        <f t="shared" si="2"/>
        <v>NON-COMPLIANT</v>
      </c>
      <c r="P46" t="str">
        <f t="shared" si="3"/>
        <v>Medium Risk</v>
      </c>
    </row>
    <row r="47" spans="1:16" x14ac:dyDescent="0.3">
      <c r="A47" s="1">
        <v>45703</v>
      </c>
      <c r="B47" t="s">
        <v>22</v>
      </c>
      <c r="C47">
        <v>7.34</v>
      </c>
      <c r="D47">
        <v>8.24</v>
      </c>
      <c r="E47">
        <v>146.69999999999999</v>
      </c>
      <c r="F47">
        <v>117.9</v>
      </c>
      <c r="G47">
        <v>956.1</v>
      </c>
      <c r="H47" t="s">
        <v>10</v>
      </c>
      <c r="I47" t="s">
        <v>137</v>
      </c>
      <c r="J47">
        <f>VLOOKUP("pH",parametros!A:C,2,FALSE)</f>
        <v>6.5</v>
      </c>
      <c r="K47">
        <f>VLOOKUP("pH",parametros!A:C,3,FALSE)</f>
        <v>8.5</v>
      </c>
      <c r="L47" t="str" cm="1">
        <f t="array" ref="L47">IF(AND(Table1__2[[#This Row],[pH]]&gt;=Table1__2[pH_Min],Table1__2[[#This Row],[pH]]&lt;=Table1__2[pH_Max]),"OK","Out")</f>
        <v>OK</v>
      </c>
      <c r="M47" t="str">
        <f>IF(D47&lt;=VLOOKUP("Turbidez_NTU",parametros!A:C,3,FALSE),"OK","Out")</f>
        <v>Out</v>
      </c>
      <c r="N47" t="str">
        <f>IF(F46&lt;=VLOOKUP("Cloruros_mgL",parametros!A:C,3,FALSE),"OK","Out")</f>
        <v>OK</v>
      </c>
      <c r="O47" t="str">
        <f t="shared" si="2"/>
        <v>NON-COMPLIANT</v>
      </c>
      <c r="P47" t="str">
        <f t="shared" si="3"/>
        <v>Medium Risk</v>
      </c>
    </row>
    <row r="48" spans="1:16" x14ac:dyDescent="0.3">
      <c r="A48" s="1">
        <v>45704</v>
      </c>
      <c r="B48" t="s">
        <v>12</v>
      </c>
      <c r="C48">
        <v>6.34</v>
      </c>
      <c r="D48">
        <v>7.97</v>
      </c>
      <c r="E48">
        <v>261.10000000000002</v>
      </c>
      <c r="F48">
        <v>33.299999999999997</v>
      </c>
      <c r="G48">
        <v>1192.0999999999999</v>
      </c>
      <c r="H48" t="s">
        <v>10</v>
      </c>
      <c r="I48" t="s">
        <v>137</v>
      </c>
      <c r="J48">
        <f>VLOOKUP("pH",parametros!A:C,2,FALSE)</f>
        <v>6.5</v>
      </c>
      <c r="K48">
        <f>VLOOKUP("pH",parametros!A:C,3,FALSE)</f>
        <v>8.5</v>
      </c>
      <c r="L48" t="str" cm="1">
        <f t="array" ref="L48">IF(AND(Table1__2[[#This Row],[pH]]&gt;=Table1__2[pH_Min],Table1__2[[#This Row],[pH]]&lt;=Table1__2[pH_Max]),"OK","Out")</f>
        <v>Out</v>
      </c>
      <c r="M48" t="str">
        <f>IF(D48&lt;=VLOOKUP("Turbidez_NTU",parametros!A:C,3,FALSE),"OK","Out")</f>
        <v>Out</v>
      </c>
      <c r="N48" t="str">
        <f>IF(F47&lt;=VLOOKUP("Cloruros_mgL",parametros!A:C,3,FALSE),"OK","Out")</f>
        <v>OK</v>
      </c>
      <c r="O48" t="str">
        <f t="shared" si="2"/>
        <v>NON-COMPLIANT</v>
      </c>
      <c r="P48" t="str">
        <f t="shared" si="3"/>
        <v>Medium Risk</v>
      </c>
    </row>
    <row r="49" spans="1:16" x14ac:dyDescent="0.3">
      <c r="A49" s="1">
        <v>45705</v>
      </c>
      <c r="B49" t="s">
        <v>28</v>
      </c>
      <c r="C49">
        <v>7.85</v>
      </c>
      <c r="D49">
        <v>0.89</v>
      </c>
      <c r="E49">
        <v>175.3</v>
      </c>
      <c r="F49">
        <v>193.7</v>
      </c>
      <c r="G49">
        <v>803</v>
      </c>
      <c r="H49" t="s">
        <v>13</v>
      </c>
      <c r="I49" t="s">
        <v>137</v>
      </c>
      <c r="J49">
        <f>VLOOKUP("pH",parametros!A:C,2,FALSE)</f>
        <v>6.5</v>
      </c>
      <c r="K49">
        <f>VLOOKUP("pH",parametros!A:C,3,FALSE)</f>
        <v>8.5</v>
      </c>
      <c r="L49" t="str" cm="1">
        <f t="array" ref="L49">IF(AND(Table1__2[[#This Row],[pH]]&gt;=Table1__2[pH_Min],Table1__2[[#This Row],[pH]]&lt;=Table1__2[pH_Max]),"OK","Out")</f>
        <v>OK</v>
      </c>
      <c r="M49" t="str">
        <f>IF(D49&lt;=VLOOKUP("Turbidez_NTU",parametros!A:C,3,FALSE),"OK","Out")</f>
        <v>OK</v>
      </c>
      <c r="N49" t="str">
        <f>IF(F48&lt;=VLOOKUP("Cloruros_mgL",parametros!A:C,3,FALSE),"OK","Out")</f>
        <v>OK</v>
      </c>
      <c r="O49" t="str">
        <f t="shared" si="2"/>
        <v>COMPLIES</v>
      </c>
      <c r="P49" t="str">
        <f t="shared" si="3"/>
        <v>Medium Risk</v>
      </c>
    </row>
    <row r="50" spans="1:16" x14ac:dyDescent="0.3">
      <c r="A50" s="1">
        <v>45706</v>
      </c>
      <c r="B50" t="s">
        <v>28</v>
      </c>
      <c r="C50">
        <v>7.77</v>
      </c>
      <c r="D50">
        <v>11.77</v>
      </c>
      <c r="E50">
        <v>119.7</v>
      </c>
      <c r="F50">
        <v>220.5</v>
      </c>
      <c r="G50">
        <v>1083</v>
      </c>
      <c r="H50" t="s">
        <v>10</v>
      </c>
      <c r="I50" t="s">
        <v>137</v>
      </c>
      <c r="J50">
        <f>VLOOKUP("pH",parametros!A:C,2,FALSE)</f>
        <v>6.5</v>
      </c>
      <c r="K50">
        <f>VLOOKUP("pH",parametros!A:C,3,FALSE)</f>
        <v>8.5</v>
      </c>
      <c r="L50" t="str" cm="1">
        <f t="array" ref="L50">IF(AND(Table1__2[[#This Row],[pH]]&gt;=Table1__2[pH_Min],Table1__2[[#This Row],[pH]]&lt;=Table1__2[pH_Max]),"OK","Out")</f>
        <v>OK</v>
      </c>
      <c r="M50" t="str">
        <f>IF(D50&lt;=VLOOKUP("Turbidez_NTU",parametros!A:C,3,FALSE),"OK","Out")</f>
        <v>Out</v>
      </c>
      <c r="N50" t="str">
        <f>IF(F49&lt;=VLOOKUP("Cloruros_mgL",parametros!A:C,3,FALSE),"OK","Out")</f>
        <v>OK</v>
      </c>
      <c r="O50" t="str">
        <f t="shared" si="2"/>
        <v>NON-COMPLIANT</v>
      </c>
      <c r="P50" t="str">
        <f t="shared" si="3"/>
        <v>Critical</v>
      </c>
    </row>
    <row r="51" spans="1:16" x14ac:dyDescent="0.3">
      <c r="A51" s="1">
        <v>45707</v>
      </c>
      <c r="B51" t="s">
        <v>12</v>
      </c>
      <c r="C51">
        <v>8.0299999999999994</v>
      </c>
      <c r="D51">
        <v>4.6100000000000003</v>
      </c>
      <c r="E51">
        <v>92.1</v>
      </c>
      <c r="F51">
        <v>124.1</v>
      </c>
      <c r="G51">
        <v>448.8</v>
      </c>
      <c r="H51" t="s">
        <v>13</v>
      </c>
      <c r="I51" t="s">
        <v>137</v>
      </c>
      <c r="J51">
        <f>VLOOKUP("pH",parametros!A:C,2,FALSE)</f>
        <v>6.5</v>
      </c>
      <c r="K51">
        <f>VLOOKUP("pH",parametros!A:C,3,FALSE)</f>
        <v>8.5</v>
      </c>
      <c r="L51" t="str" cm="1">
        <f t="array" ref="L51">IF(AND(Table1__2[[#This Row],[pH]]&gt;=Table1__2[pH_Min],Table1__2[[#This Row],[pH]]&lt;=Table1__2[pH_Max]),"OK","Out")</f>
        <v>OK</v>
      </c>
      <c r="M51" t="str">
        <f>IF(D51&lt;=VLOOKUP("Turbidez_NTU",parametros!A:C,3,FALSE),"OK","Out")</f>
        <v>OK</v>
      </c>
      <c r="N51" t="str">
        <f>IF(F50&lt;=VLOOKUP("Cloruros_mgL",parametros!A:C,3,FALSE),"OK","Out")</f>
        <v>OK</v>
      </c>
      <c r="O51" t="str">
        <f t="shared" si="2"/>
        <v>COMPLIES</v>
      </c>
      <c r="P51" t="str">
        <f t="shared" si="3"/>
        <v>Medium Risk</v>
      </c>
    </row>
    <row r="52" spans="1:16" x14ac:dyDescent="0.3">
      <c r="A52" s="1">
        <v>45708</v>
      </c>
      <c r="B52" t="s">
        <v>28</v>
      </c>
      <c r="C52">
        <v>7.85</v>
      </c>
      <c r="D52">
        <v>8.98</v>
      </c>
      <c r="E52">
        <v>129.80000000000001</v>
      </c>
      <c r="F52">
        <v>182.9</v>
      </c>
      <c r="G52">
        <v>550.20000000000005</v>
      </c>
      <c r="H52" t="s">
        <v>10</v>
      </c>
      <c r="I52" t="s">
        <v>137</v>
      </c>
      <c r="J52">
        <f>VLOOKUP("pH",parametros!A:C,2,FALSE)</f>
        <v>6.5</v>
      </c>
      <c r="K52">
        <f>VLOOKUP("pH",parametros!A:C,3,FALSE)</f>
        <v>8.5</v>
      </c>
      <c r="L52" t="str" cm="1">
        <f t="array" ref="L52">IF(AND(Table1__2[[#This Row],[pH]]&gt;=Table1__2[pH_Min],Table1__2[[#This Row],[pH]]&lt;=Table1__2[pH_Max]),"OK","Out")</f>
        <v>OK</v>
      </c>
      <c r="M52" t="str">
        <f>IF(D52&lt;=VLOOKUP("Turbidez_NTU",parametros!A:C,3,FALSE),"OK","Out")</f>
        <v>Out</v>
      </c>
      <c r="N52" t="str">
        <f>IF(F51&lt;=VLOOKUP("Cloruros_mgL",parametros!A:C,3,FALSE),"OK","Out")</f>
        <v>OK</v>
      </c>
      <c r="O52" t="str">
        <f t="shared" si="2"/>
        <v>NON-COMPLIANT</v>
      </c>
      <c r="P52" t="str">
        <f t="shared" si="3"/>
        <v>Medium Risk</v>
      </c>
    </row>
    <row r="53" spans="1:16" x14ac:dyDescent="0.3">
      <c r="A53" s="1">
        <v>45709</v>
      </c>
      <c r="B53" t="s">
        <v>22</v>
      </c>
      <c r="C53">
        <v>6.58</v>
      </c>
      <c r="D53">
        <v>8.7100000000000009</v>
      </c>
      <c r="E53">
        <v>248.5</v>
      </c>
      <c r="F53">
        <v>263.3</v>
      </c>
      <c r="G53">
        <v>297.10000000000002</v>
      </c>
      <c r="H53" t="s">
        <v>10</v>
      </c>
      <c r="I53" t="s">
        <v>137</v>
      </c>
      <c r="J53">
        <f>VLOOKUP("pH",parametros!A:C,2,FALSE)</f>
        <v>6.5</v>
      </c>
      <c r="K53">
        <f>VLOOKUP("pH",parametros!A:C,3,FALSE)</f>
        <v>8.5</v>
      </c>
      <c r="L53" t="str" cm="1">
        <f t="array" ref="L53">IF(AND(Table1__2[[#This Row],[pH]]&gt;=Table1__2[pH_Min],Table1__2[[#This Row],[pH]]&lt;=Table1__2[pH_Max]),"OK","Out")</f>
        <v>OK</v>
      </c>
      <c r="M53" t="str">
        <f>IF(D53&lt;=VLOOKUP("Turbidez_NTU",parametros!A:C,3,FALSE),"OK","Out")</f>
        <v>Out</v>
      </c>
      <c r="N53" t="str">
        <f>IF(F52&lt;=VLOOKUP("Cloruros_mgL",parametros!A:C,3,FALSE),"OK","Out")</f>
        <v>OK</v>
      </c>
      <c r="O53" t="str">
        <f t="shared" si="2"/>
        <v>NON-COMPLIANT</v>
      </c>
      <c r="P53" t="str">
        <f t="shared" si="3"/>
        <v>Medium Risk</v>
      </c>
    </row>
    <row r="54" spans="1:16" x14ac:dyDescent="0.3">
      <c r="A54" s="1">
        <v>45710</v>
      </c>
      <c r="B54" t="s">
        <v>22</v>
      </c>
      <c r="C54">
        <v>6.34</v>
      </c>
      <c r="D54">
        <v>10.67</v>
      </c>
      <c r="E54">
        <v>235.8</v>
      </c>
      <c r="F54">
        <v>224.4</v>
      </c>
      <c r="G54">
        <v>688.7</v>
      </c>
      <c r="H54" t="s">
        <v>10</v>
      </c>
      <c r="I54" t="s">
        <v>137</v>
      </c>
      <c r="J54">
        <f>VLOOKUP("pH",parametros!A:C,2,FALSE)</f>
        <v>6.5</v>
      </c>
      <c r="K54">
        <f>VLOOKUP("pH",parametros!A:C,3,FALSE)</f>
        <v>8.5</v>
      </c>
      <c r="L54" t="str" cm="1">
        <f t="array" ref="L54">IF(AND(Table1__2[[#This Row],[pH]]&gt;=Table1__2[pH_Min],Table1__2[[#This Row],[pH]]&lt;=Table1__2[pH_Max]),"OK","Out")</f>
        <v>Out</v>
      </c>
      <c r="M54" t="str">
        <f>IF(D54&lt;=VLOOKUP("Turbidez_NTU",parametros!A:C,3,FALSE),"OK","Out")</f>
        <v>Out</v>
      </c>
      <c r="N54" t="str">
        <f>IF(F53&lt;=VLOOKUP("Cloruros_mgL",parametros!A:C,3,FALSE),"OK","Out")</f>
        <v>Out</v>
      </c>
      <c r="O54" t="str">
        <f t="shared" si="2"/>
        <v>NON-COMPLIANT</v>
      </c>
      <c r="P54" t="str">
        <f t="shared" si="3"/>
        <v>Critical</v>
      </c>
    </row>
    <row r="55" spans="1:16" x14ac:dyDescent="0.3">
      <c r="A55" s="1">
        <v>45711</v>
      </c>
      <c r="B55" t="s">
        <v>16</v>
      </c>
      <c r="C55">
        <v>6.17</v>
      </c>
      <c r="D55">
        <v>0.72</v>
      </c>
      <c r="E55">
        <v>115.1</v>
      </c>
      <c r="F55">
        <v>139.80000000000001</v>
      </c>
      <c r="G55">
        <v>1154.7</v>
      </c>
      <c r="H55" t="s">
        <v>10</v>
      </c>
      <c r="I55" t="s">
        <v>137</v>
      </c>
      <c r="J55">
        <f>VLOOKUP("pH",parametros!A:C,2,FALSE)</f>
        <v>6.5</v>
      </c>
      <c r="K55">
        <f>VLOOKUP("pH",parametros!A:C,3,FALSE)</f>
        <v>8.5</v>
      </c>
      <c r="L55" t="str" cm="1">
        <f t="array" ref="L55">IF(AND(Table1__2[[#This Row],[pH]]&gt;=Table1__2[pH_Min],Table1__2[[#This Row],[pH]]&lt;=Table1__2[pH_Max]),"OK","Out")</f>
        <v>Out</v>
      </c>
      <c r="M55" t="str">
        <f>IF(D55&lt;=VLOOKUP("Turbidez_NTU",parametros!A:C,3,FALSE),"OK","Out")</f>
        <v>OK</v>
      </c>
      <c r="N55" t="str">
        <f>IF(F54&lt;=VLOOKUP("Cloruros_mgL",parametros!A:C,3,FALSE),"OK","Out")</f>
        <v>OK</v>
      </c>
      <c r="O55" t="str">
        <f t="shared" si="2"/>
        <v>NON-COMPLIANT</v>
      </c>
      <c r="P55" t="str">
        <f t="shared" si="3"/>
        <v>Medium Risk</v>
      </c>
    </row>
    <row r="56" spans="1:16" x14ac:dyDescent="0.3">
      <c r="A56" s="1">
        <v>45712</v>
      </c>
      <c r="B56" t="s">
        <v>9</v>
      </c>
      <c r="C56">
        <v>6.81</v>
      </c>
      <c r="D56">
        <v>3.78</v>
      </c>
      <c r="E56">
        <v>97.3</v>
      </c>
      <c r="F56">
        <v>86.4</v>
      </c>
      <c r="G56">
        <v>609.29999999999995</v>
      </c>
      <c r="H56" t="s">
        <v>13</v>
      </c>
      <c r="I56" t="s">
        <v>137</v>
      </c>
      <c r="J56">
        <f>VLOOKUP("pH",parametros!A:C,2,FALSE)</f>
        <v>6.5</v>
      </c>
      <c r="K56">
        <f>VLOOKUP("pH",parametros!A:C,3,FALSE)</f>
        <v>8.5</v>
      </c>
      <c r="L56" t="str" cm="1">
        <f t="array" ref="L56">IF(AND(Table1__2[[#This Row],[pH]]&gt;=Table1__2[pH_Min],Table1__2[[#This Row],[pH]]&lt;=Table1__2[pH_Max]),"OK","Out")</f>
        <v>OK</v>
      </c>
      <c r="M56" t="str">
        <f>IF(D56&lt;=VLOOKUP("Turbidez_NTU",parametros!A:C,3,FALSE),"OK","Out")</f>
        <v>OK</v>
      </c>
      <c r="N56" t="str">
        <f>IF(F55&lt;=VLOOKUP("Cloruros_mgL",parametros!A:C,3,FALSE),"OK","Out")</f>
        <v>OK</v>
      </c>
      <c r="O56" t="str">
        <f t="shared" si="2"/>
        <v>COMPLIES</v>
      </c>
      <c r="P56" t="str">
        <f t="shared" si="3"/>
        <v>Medium Risk</v>
      </c>
    </row>
    <row r="57" spans="1:16" x14ac:dyDescent="0.3">
      <c r="A57" s="1">
        <v>45713</v>
      </c>
      <c r="B57" t="s">
        <v>9</v>
      </c>
      <c r="C57">
        <v>7.4</v>
      </c>
      <c r="D57">
        <v>6.11</v>
      </c>
      <c r="E57">
        <v>96.4</v>
      </c>
      <c r="F57">
        <v>89.1</v>
      </c>
      <c r="G57">
        <v>371.5</v>
      </c>
      <c r="H57" t="s">
        <v>10</v>
      </c>
      <c r="I57" t="s">
        <v>137</v>
      </c>
      <c r="J57">
        <f>VLOOKUP("pH",parametros!A:C,2,FALSE)</f>
        <v>6.5</v>
      </c>
      <c r="K57">
        <f>VLOOKUP("pH",parametros!A:C,3,FALSE)</f>
        <v>8.5</v>
      </c>
      <c r="L57" t="str" cm="1">
        <f t="array" ref="L57">IF(AND(Table1__2[[#This Row],[pH]]&gt;=Table1__2[pH_Min],Table1__2[[#This Row],[pH]]&lt;=Table1__2[pH_Max]),"OK","Out")</f>
        <v>OK</v>
      </c>
      <c r="M57" t="str">
        <f>IF(D57&lt;=VLOOKUP("Turbidez_NTU",parametros!A:C,3,FALSE),"OK","Out")</f>
        <v>Out</v>
      </c>
      <c r="N57" t="str">
        <f>IF(F56&lt;=VLOOKUP("Cloruros_mgL",parametros!A:C,3,FALSE),"OK","Out")</f>
        <v>OK</v>
      </c>
      <c r="O57" t="str">
        <f t="shared" si="2"/>
        <v>NON-COMPLIANT</v>
      </c>
      <c r="P57" t="str">
        <f t="shared" si="3"/>
        <v>Medium Risk</v>
      </c>
    </row>
    <row r="58" spans="1:16" x14ac:dyDescent="0.3">
      <c r="A58" s="1">
        <v>45714</v>
      </c>
      <c r="B58" t="s">
        <v>9</v>
      </c>
      <c r="C58">
        <v>8.11</v>
      </c>
      <c r="D58">
        <v>9.5500000000000007</v>
      </c>
      <c r="E58">
        <v>301.5</v>
      </c>
      <c r="F58">
        <v>179.1</v>
      </c>
      <c r="G58">
        <v>627.4</v>
      </c>
      <c r="H58" t="s">
        <v>10</v>
      </c>
      <c r="I58" t="s">
        <v>137</v>
      </c>
      <c r="J58">
        <f>VLOOKUP("pH",parametros!A:C,2,FALSE)</f>
        <v>6.5</v>
      </c>
      <c r="K58">
        <f>VLOOKUP("pH",parametros!A:C,3,FALSE)</f>
        <v>8.5</v>
      </c>
      <c r="L58" t="str" cm="1">
        <f t="array" ref="L58">IF(AND(Table1__2[[#This Row],[pH]]&gt;=Table1__2[pH_Min],Table1__2[[#This Row],[pH]]&lt;=Table1__2[pH_Max]),"OK","Out")</f>
        <v>OK</v>
      </c>
      <c r="M58" t="str">
        <f>IF(D58&lt;=VLOOKUP("Turbidez_NTU",parametros!A:C,3,FALSE),"OK","Out")</f>
        <v>Out</v>
      </c>
      <c r="N58" t="str">
        <f>IF(F57&lt;=VLOOKUP("Cloruros_mgL",parametros!A:C,3,FALSE),"OK","Out")</f>
        <v>OK</v>
      </c>
      <c r="O58" t="str">
        <f t="shared" si="2"/>
        <v>NON-COMPLIANT</v>
      </c>
      <c r="P58" t="str">
        <f t="shared" si="3"/>
        <v>Medium Risk</v>
      </c>
    </row>
    <row r="59" spans="1:16" x14ac:dyDescent="0.3">
      <c r="A59" s="1">
        <v>45715</v>
      </c>
      <c r="B59" t="s">
        <v>18</v>
      </c>
      <c r="C59">
        <v>7.08</v>
      </c>
      <c r="D59">
        <v>6.24</v>
      </c>
      <c r="E59">
        <v>91.9</v>
      </c>
      <c r="F59">
        <v>173.6</v>
      </c>
      <c r="G59">
        <v>202.9</v>
      </c>
      <c r="H59" t="s">
        <v>10</v>
      </c>
      <c r="I59" t="s">
        <v>137</v>
      </c>
      <c r="J59">
        <f>VLOOKUP("pH",parametros!A:C,2,FALSE)</f>
        <v>6.5</v>
      </c>
      <c r="K59">
        <f>VLOOKUP("pH",parametros!A:C,3,FALSE)</f>
        <v>8.5</v>
      </c>
      <c r="L59" t="str" cm="1">
        <f t="array" ref="L59">IF(AND(Table1__2[[#This Row],[pH]]&gt;=Table1__2[pH_Min],Table1__2[[#This Row],[pH]]&lt;=Table1__2[pH_Max]),"OK","Out")</f>
        <v>OK</v>
      </c>
      <c r="M59" t="str">
        <f>IF(D59&lt;=VLOOKUP("Turbidez_NTU",parametros!A:C,3,FALSE),"OK","Out")</f>
        <v>Out</v>
      </c>
      <c r="N59" t="str">
        <f>IF(F58&lt;=VLOOKUP("Cloruros_mgL",parametros!A:C,3,FALSE),"OK","Out")</f>
        <v>OK</v>
      </c>
      <c r="O59" t="str">
        <f t="shared" si="2"/>
        <v>NON-COMPLIANT</v>
      </c>
      <c r="P59" t="str">
        <f t="shared" si="3"/>
        <v>Medium Risk</v>
      </c>
    </row>
    <row r="60" spans="1:16" x14ac:dyDescent="0.3">
      <c r="A60" s="1">
        <v>45716</v>
      </c>
      <c r="B60" t="s">
        <v>9</v>
      </c>
      <c r="C60">
        <v>7.24</v>
      </c>
      <c r="D60">
        <v>6.74</v>
      </c>
      <c r="E60">
        <v>297.5</v>
      </c>
      <c r="F60">
        <v>128.5</v>
      </c>
      <c r="G60">
        <v>598.4</v>
      </c>
      <c r="H60" t="s">
        <v>10</v>
      </c>
      <c r="I60" t="s">
        <v>137</v>
      </c>
      <c r="J60">
        <f>VLOOKUP("pH",parametros!A:C,2,FALSE)</f>
        <v>6.5</v>
      </c>
      <c r="K60">
        <f>VLOOKUP("pH",parametros!A:C,3,FALSE)</f>
        <v>8.5</v>
      </c>
      <c r="L60" t="str" cm="1">
        <f t="array" ref="L60">IF(AND(Table1__2[[#This Row],[pH]]&gt;=Table1__2[pH_Min],Table1__2[[#This Row],[pH]]&lt;=Table1__2[pH_Max]),"OK","Out")</f>
        <v>OK</v>
      </c>
      <c r="M60" t="str">
        <f>IF(D60&lt;=VLOOKUP("Turbidez_NTU",parametros!A:C,3,FALSE),"OK","Out")</f>
        <v>Out</v>
      </c>
      <c r="N60" t="str">
        <f>IF(F59&lt;=VLOOKUP("Cloruros_mgL",parametros!A:C,3,FALSE),"OK","Out")</f>
        <v>OK</v>
      </c>
      <c r="O60" t="str">
        <f t="shared" si="2"/>
        <v>NON-COMPLIANT</v>
      </c>
      <c r="P60" t="str">
        <f t="shared" si="3"/>
        <v>Medium Risk</v>
      </c>
    </row>
    <row r="61" spans="1:16" x14ac:dyDescent="0.3">
      <c r="A61" s="1">
        <v>45717</v>
      </c>
      <c r="B61" t="s">
        <v>9</v>
      </c>
      <c r="C61">
        <v>6.66</v>
      </c>
      <c r="D61">
        <v>1.27</v>
      </c>
      <c r="E61">
        <v>122.1</v>
      </c>
      <c r="F61">
        <v>163.30000000000001</v>
      </c>
      <c r="G61">
        <v>665.1</v>
      </c>
      <c r="H61" t="s">
        <v>13</v>
      </c>
      <c r="I61" t="s">
        <v>137</v>
      </c>
      <c r="J61">
        <f>VLOOKUP("pH",parametros!A:C,2,FALSE)</f>
        <v>6.5</v>
      </c>
      <c r="K61">
        <f>VLOOKUP("pH",parametros!A:C,3,FALSE)</f>
        <v>8.5</v>
      </c>
      <c r="L61" t="str" cm="1">
        <f t="array" ref="L61">IF(AND(Table1__2[[#This Row],[pH]]&gt;=Table1__2[pH_Min],Table1__2[[#This Row],[pH]]&lt;=Table1__2[pH_Max]),"OK","Out")</f>
        <v>OK</v>
      </c>
      <c r="M61" t="str">
        <f>IF(D61&lt;=VLOOKUP("Turbidez_NTU",parametros!A:C,3,FALSE),"OK","Out")</f>
        <v>OK</v>
      </c>
      <c r="N61" t="str">
        <f>IF(F60&lt;=VLOOKUP("Cloruros_mgL",parametros!A:C,3,FALSE),"OK","Out")</f>
        <v>OK</v>
      </c>
      <c r="O61" t="str">
        <f t="shared" si="2"/>
        <v>COMPLIES</v>
      </c>
      <c r="P61" t="str">
        <f t="shared" si="3"/>
        <v>Medium Risk</v>
      </c>
    </row>
    <row r="62" spans="1:16" x14ac:dyDescent="0.3">
      <c r="A62" s="1">
        <v>45718</v>
      </c>
      <c r="B62" t="s">
        <v>9</v>
      </c>
      <c r="C62">
        <v>8.34</v>
      </c>
      <c r="D62">
        <v>8.8800000000000008</v>
      </c>
      <c r="E62">
        <v>117.6</v>
      </c>
      <c r="F62">
        <v>169</v>
      </c>
      <c r="G62">
        <v>724.8</v>
      </c>
      <c r="H62" t="s">
        <v>10</v>
      </c>
      <c r="I62" t="s">
        <v>137</v>
      </c>
      <c r="J62">
        <f>VLOOKUP("pH",parametros!A:C,2,FALSE)</f>
        <v>6.5</v>
      </c>
      <c r="K62">
        <f>VLOOKUP("pH",parametros!A:C,3,FALSE)</f>
        <v>8.5</v>
      </c>
      <c r="L62" t="str" cm="1">
        <f t="array" ref="L62">IF(AND(Table1__2[[#This Row],[pH]]&gt;=Table1__2[pH_Min],Table1__2[[#This Row],[pH]]&lt;=Table1__2[pH_Max]),"OK","Out")</f>
        <v>OK</v>
      </c>
      <c r="M62" t="str">
        <f>IF(D62&lt;=VLOOKUP("Turbidez_NTU",parametros!A:C,3,FALSE),"OK","Out")</f>
        <v>Out</v>
      </c>
      <c r="N62" t="str">
        <f>IF(F61&lt;=VLOOKUP("Cloruros_mgL",parametros!A:C,3,FALSE),"OK","Out")</f>
        <v>OK</v>
      </c>
      <c r="O62" t="str">
        <f t="shared" si="2"/>
        <v>NON-COMPLIANT</v>
      </c>
      <c r="P62" t="str">
        <f t="shared" si="3"/>
        <v>Medium Risk</v>
      </c>
    </row>
    <row r="63" spans="1:16" x14ac:dyDescent="0.3">
      <c r="A63" s="1">
        <v>45719</v>
      </c>
      <c r="B63" t="s">
        <v>22</v>
      </c>
      <c r="C63">
        <v>6.64</v>
      </c>
      <c r="D63">
        <v>3.76</v>
      </c>
      <c r="E63">
        <v>252.4</v>
      </c>
      <c r="F63">
        <v>179</v>
      </c>
      <c r="G63">
        <v>295.7</v>
      </c>
      <c r="H63" t="s">
        <v>13</v>
      </c>
      <c r="I63" t="s">
        <v>137</v>
      </c>
      <c r="J63">
        <f>VLOOKUP("pH",parametros!A:C,2,FALSE)</f>
        <v>6.5</v>
      </c>
      <c r="K63">
        <f>VLOOKUP("pH",parametros!A:C,3,FALSE)</f>
        <v>8.5</v>
      </c>
      <c r="L63" t="str" cm="1">
        <f t="array" ref="L63">IF(AND(Table1__2[[#This Row],[pH]]&gt;=Table1__2[pH_Min],Table1__2[[#This Row],[pH]]&lt;=Table1__2[pH_Max]),"OK","Out")</f>
        <v>OK</v>
      </c>
      <c r="M63" t="str">
        <f>IF(D63&lt;=VLOOKUP("Turbidez_NTU",parametros!A:C,3,FALSE),"OK","Out")</f>
        <v>OK</v>
      </c>
      <c r="N63" t="str">
        <f>IF(F62&lt;=VLOOKUP("Cloruros_mgL",parametros!A:C,3,FALSE),"OK","Out")</f>
        <v>OK</v>
      </c>
      <c r="O63" t="str">
        <f t="shared" si="2"/>
        <v>COMPLIES</v>
      </c>
      <c r="P63" t="str">
        <f t="shared" si="3"/>
        <v>Medium Risk</v>
      </c>
    </row>
    <row r="64" spans="1:16" x14ac:dyDescent="0.3">
      <c r="A64" s="1">
        <v>45720</v>
      </c>
      <c r="B64" t="s">
        <v>9</v>
      </c>
      <c r="C64">
        <v>7.31</v>
      </c>
      <c r="D64">
        <v>6.46</v>
      </c>
      <c r="E64">
        <v>156.69999999999999</v>
      </c>
      <c r="F64">
        <v>133</v>
      </c>
      <c r="G64">
        <v>1001.5</v>
      </c>
      <c r="H64" t="s">
        <v>10</v>
      </c>
      <c r="I64" t="s">
        <v>137</v>
      </c>
      <c r="J64">
        <f>VLOOKUP("pH",parametros!A:C,2,FALSE)</f>
        <v>6.5</v>
      </c>
      <c r="K64">
        <f>VLOOKUP("pH",parametros!A:C,3,FALSE)</f>
        <v>8.5</v>
      </c>
      <c r="L64" t="str" cm="1">
        <f t="array" ref="L64">IF(AND(Table1__2[[#This Row],[pH]]&gt;=Table1__2[pH_Min],Table1__2[[#This Row],[pH]]&lt;=Table1__2[pH_Max]),"OK","Out")</f>
        <v>OK</v>
      </c>
      <c r="M64" t="str">
        <f>IF(D64&lt;=VLOOKUP("Turbidez_NTU",parametros!A:C,3,FALSE),"OK","Out")</f>
        <v>Out</v>
      </c>
      <c r="N64" t="str">
        <f>IF(F63&lt;=VLOOKUP("Cloruros_mgL",parametros!A:C,3,FALSE),"OK","Out")</f>
        <v>OK</v>
      </c>
      <c r="O64" t="str">
        <f t="shared" si="2"/>
        <v>NON-COMPLIANT</v>
      </c>
      <c r="P64" t="str">
        <f t="shared" si="3"/>
        <v>Medium Risk</v>
      </c>
    </row>
    <row r="65" spans="1:16" x14ac:dyDescent="0.3">
      <c r="A65" s="1">
        <v>45721</v>
      </c>
      <c r="B65" t="s">
        <v>28</v>
      </c>
      <c r="C65">
        <v>8.3800000000000008</v>
      </c>
      <c r="D65">
        <v>7.94</v>
      </c>
      <c r="E65">
        <v>291.5</v>
      </c>
      <c r="F65">
        <v>38.799999999999997</v>
      </c>
      <c r="G65">
        <v>839.1</v>
      </c>
      <c r="H65" t="s">
        <v>10</v>
      </c>
      <c r="I65" t="s">
        <v>137</v>
      </c>
      <c r="J65">
        <f>VLOOKUP("pH",parametros!A:C,2,FALSE)</f>
        <v>6.5</v>
      </c>
      <c r="K65">
        <f>VLOOKUP("pH",parametros!A:C,3,FALSE)</f>
        <v>8.5</v>
      </c>
      <c r="L65" t="str" cm="1">
        <f t="array" ref="L65">IF(AND(Table1__2[[#This Row],[pH]]&gt;=Table1__2[pH_Min],Table1__2[[#This Row],[pH]]&lt;=Table1__2[pH_Max]),"OK","Out")</f>
        <v>OK</v>
      </c>
      <c r="M65" t="str">
        <f>IF(D65&lt;=VLOOKUP("Turbidez_NTU",parametros!A:C,3,FALSE),"OK","Out")</f>
        <v>Out</v>
      </c>
      <c r="N65" t="str">
        <f>IF(F64&lt;=VLOOKUP("Cloruros_mgL",parametros!A:C,3,FALSE),"OK","Out")</f>
        <v>OK</v>
      </c>
      <c r="O65" t="str">
        <f t="shared" si="2"/>
        <v>NON-COMPLIANT</v>
      </c>
      <c r="P65" t="str">
        <f t="shared" si="3"/>
        <v>Medium Risk</v>
      </c>
    </row>
    <row r="66" spans="1:16" x14ac:dyDescent="0.3">
      <c r="A66" s="1">
        <v>45722</v>
      </c>
      <c r="B66" t="s">
        <v>22</v>
      </c>
      <c r="C66">
        <v>7.88</v>
      </c>
      <c r="D66">
        <v>2.92</v>
      </c>
      <c r="E66">
        <v>218.3</v>
      </c>
      <c r="F66">
        <v>201.8</v>
      </c>
      <c r="G66">
        <v>924</v>
      </c>
      <c r="H66" t="s">
        <v>13</v>
      </c>
      <c r="I66" t="s">
        <v>137</v>
      </c>
      <c r="J66">
        <f>VLOOKUP("pH",parametros!A:C,2,FALSE)</f>
        <v>6.5</v>
      </c>
      <c r="K66">
        <f>VLOOKUP("pH",parametros!A:C,3,FALSE)</f>
        <v>8.5</v>
      </c>
      <c r="L66" t="str" cm="1">
        <f t="array" ref="L66">IF(AND(Table1__2[[#This Row],[pH]]&gt;=Table1__2[pH_Min],Table1__2[[#This Row],[pH]]&lt;=Table1__2[pH_Max]),"OK","Out")</f>
        <v>OK</v>
      </c>
      <c r="M66" t="str">
        <f>IF(D66&lt;=VLOOKUP("Turbidez_NTU",parametros!A:C,3,FALSE),"OK","Out")</f>
        <v>OK</v>
      </c>
      <c r="N66" t="str">
        <f>IF(F65&lt;=VLOOKUP("Cloruros_mgL",parametros!A:C,3,FALSE),"OK","Out")</f>
        <v>OK</v>
      </c>
      <c r="O66" t="str">
        <f t="shared" ref="O66:O97" si="4">IF(AND(L66="OK",M66="OK",N66="OK"),"COMPLIES","NON-COMPLIANT")</f>
        <v>COMPLIES</v>
      </c>
      <c r="P66" t="str">
        <f t="shared" ref="P66:P97" si="5">IF(H66="COMPLIES","Safe",IF(D66&gt;10,"Critical","Medium Risk"))</f>
        <v>Medium Risk</v>
      </c>
    </row>
    <row r="67" spans="1:16" x14ac:dyDescent="0.3">
      <c r="A67" s="1">
        <v>45723</v>
      </c>
      <c r="B67" t="s">
        <v>16</v>
      </c>
      <c r="C67">
        <v>7.19</v>
      </c>
      <c r="D67">
        <v>4.25</v>
      </c>
      <c r="E67">
        <v>214.4</v>
      </c>
      <c r="F67">
        <v>245.8</v>
      </c>
      <c r="G67">
        <v>820.2</v>
      </c>
      <c r="H67" t="s">
        <v>13</v>
      </c>
      <c r="I67" t="s">
        <v>137</v>
      </c>
      <c r="J67">
        <f>VLOOKUP("pH",parametros!A:C,2,FALSE)</f>
        <v>6.5</v>
      </c>
      <c r="K67">
        <f>VLOOKUP("pH",parametros!A:C,3,FALSE)</f>
        <v>8.5</v>
      </c>
      <c r="L67" t="str" cm="1">
        <f t="array" ref="L67">IF(AND(Table1__2[[#This Row],[pH]]&gt;=Table1__2[pH_Min],Table1__2[[#This Row],[pH]]&lt;=Table1__2[pH_Max]),"OK","Out")</f>
        <v>OK</v>
      </c>
      <c r="M67" t="str">
        <f>IF(D67&lt;=VLOOKUP("Turbidez_NTU",parametros!A:C,3,FALSE),"OK","Out")</f>
        <v>OK</v>
      </c>
      <c r="N67" t="str">
        <f>IF(F66&lt;=VLOOKUP("Cloruros_mgL",parametros!A:C,3,FALSE),"OK","Out")</f>
        <v>OK</v>
      </c>
      <c r="O67" t="str">
        <f t="shared" si="4"/>
        <v>COMPLIES</v>
      </c>
      <c r="P67" t="str">
        <f t="shared" si="5"/>
        <v>Medium Risk</v>
      </c>
    </row>
    <row r="68" spans="1:16" x14ac:dyDescent="0.3">
      <c r="A68" s="1">
        <v>45724</v>
      </c>
      <c r="B68" t="s">
        <v>9</v>
      </c>
      <c r="C68">
        <v>7.71</v>
      </c>
      <c r="D68">
        <v>3.61</v>
      </c>
      <c r="E68">
        <v>266.89999999999998</v>
      </c>
      <c r="F68">
        <v>16.100000000000001</v>
      </c>
      <c r="G68">
        <v>734.1</v>
      </c>
      <c r="H68" t="s">
        <v>13</v>
      </c>
      <c r="I68" t="s">
        <v>137</v>
      </c>
      <c r="J68">
        <f>VLOOKUP("pH",parametros!A:C,2,FALSE)</f>
        <v>6.5</v>
      </c>
      <c r="K68">
        <f>VLOOKUP("pH",parametros!A:C,3,FALSE)</f>
        <v>8.5</v>
      </c>
      <c r="L68" t="str" cm="1">
        <f t="array" ref="L68">IF(AND(Table1__2[[#This Row],[pH]]&gt;=Table1__2[pH_Min],Table1__2[[#This Row],[pH]]&lt;=Table1__2[pH_Max]),"OK","Out")</f>
        <v>OK</v>
      </c>
      <c r="M68" t="str">
        <f>IF(D68&lt;=VLOOKUP("Turbidez_NTU",parametros!A:C,3,FALSE),"OK","Out")</f>
        <v>OK</v>
      </c>
      <c r="N68" t="str">
        <f>IF(F67&lt;=VLOOKUP("Cloruros_mgL",parametros!A:C,3,FALSE),"OK","Out")</f>
        <v>OK</v>
      </c>
      <c r="O68" t="str">
        <f t="shared" si="4"/>
        <v>COMPLIES</v>
      </c>
      <c r="P68" t="str">
        <f t="shared" si="5"/>
        <v>Medium Risk</v>
      </c>
    </row>
    <row r="69" spans="1:16" x14ac:dyDescent="0.3">
      <c r="A69" s="1">
        <v>45725</v>
      </c>
      <c r="B69" t="s">
        <v>12</v>
      </c>
      <c r="C69">
        <v>8.25</v>
      </c>
      <c r="D69">
        <v>6.15</v>
      </c>
      <c r="E69">
        <v>302.10000000000002</v>
      </c>
      <c r="F69">
        <v>45.2</v>
      </c>
      <c r="G69">
        <v>887.3</v>
      </c>
      <c r="H69" t="s">
        <v>10</v>
      </c>
      <c r="I69" t="s">
        <v>137</v>
      </c>
      <c r="J69">
        <f>VLOOKUP("pH",parametros!A:C,2,FALSE)</f>
        <v>6.5</v>
      </c>
      <c r="K69">
        <f>VLOOKUP("pH",parametros!A:C,3,FALSE)</f>
        <v>8.5</v>
      </c>
      <c r="L69" t="str" cm="1">
        <f t="array" ref="L69">IF(AND(Table1__2[[#This Row],[pH]]&gt;=Table1__2[pH_Min],Table1__2[[#This Row],[pH]]&lt;=Table1__2[pH_Max]),"OK","Out")</f>
        <v>OK</v>
      </c>
      <c r="M69" t="str">
        <f>IF(D69&lt;=VLOOKUP("Turbidez_NTU",parametros!A:C,3,FALSE),"OK","Out")</f>
        <v>Out</v>
      </c>
      <c r="N69" t="str">
        <f>IF(F68&lt;=VLOOKUP("Cloruros_mgL",parametros!A:C,3,FALSE),"OK","Out")</f>
        <v>OK</v>
      </c>
      <c r="O69" t="str">
        <f t="shared" si="4"/>
        <v>NON-COMPLIANT</v>
      </c>
      <c r="P69" t="str">
        <f t="shared" si="5"/>
        <v>Medium Risk</v>
      </c>
    </row>
    <row r="70" spans="1:16" x14ac:dyDescent="0.3">
      <c r="A70" s="1">
        <v>45726</v>
      </c>
      <c r="B70" t="s">
        <v>28</v>
      </c>
      <c r="C70">
        <v>8.34</v>
      </c>
      <c r="D70">
        <v>5.89</v>
      </c>
      <c r="E70">
        <v>147.4</v>
      </c>
      <c r="F70">
        <v>193.5</v>
      </c>
      <c r="G70">
        <v>885.3</v>
      </c>
      <c r="H70" t="s">
        <v>10</v>
      </c>
      <c r="I70" t="s">
        <v>137</v>
      </c>
      <c r="J70">
        <f>VLOOKUP("pH",parametros!A:C,2,FALSE)</f>
        <v>6.5</v>
      </c>
      <c r="K70">
        <f>VLOOKUP("pH",parametros!A:C,3,FALSE)</f>
        <v>8.5</v>
      </c>
      <c r="L70" t="str" cm="1">
        <f t="array" ref="L70">IF(AND(Table1__2[[#This Row],[pH]]&gt;=Table1__2[pH_Min],Table1__2[[#This Row],[pH]]&lt;=Table1__2[pH_Max]),"OK","Out")</f>
        <v>OK</v>
      </c>
      <c r="M70" t="str">
        <f>IF(D70&lt;=VLOOKUP("Turbidez_NTU",parametros!A:C,3,FALSE),"OK","Out")</f>
        <v>Out</v>
      </c>
      <c r="N70" t="str">
        <f>IF(F69&lt;=VLOOKUP("Cloruros_mgL",parametros!A:C,3,FALSE),"OK","Out")</f>
        <v>OK</v>
      </c>
      <c r="O70" t="str">
        <f t="shared" si="4"/>
        <v>NON-COMPLIANT</v>
      </c>
      <c r="P70" t="str">
        <f t="shared" si="5"/>
        <v>Medium Risk</v>
      </c>
    </row>
    <row r="71" spans="1:16" x14ac:dyDescent="0.3">
      <c r="A71" s="1">
        <v>45727</v>
      </c>
      <c r="B71" t="s">
        <v>12</v>
      </c>
      <c r="C71">
        <v>8.32</v>
      </c>
      <c r="D71">
        <v>10.43</v>
      </c>
      <c r="E71">
        <v>303.5</v>
      </c>
      <c r="F71">
        <v>165</v>
      </c>
      <c r="G71">
        <v>713.4</v>
      </c>
      <c r="H71" t="s">
        <v>10</v>
      </c>
      <c r="I71" t="s">
        <v>137</v>
      </c>
      <c r="J71">
        <f>VLOOKUP("pH",parametros!A:C,2,FALSE)</f>
        <v>6.5</v>
      </c>
      <c r="K71">
        <f>VLOOKUP("pH",parametros!A:C,3,FALSE)</f>
        <v>8.5</v>
      </c>
      <c r="L71" t="str" cm="1">
        <f t="array" ref="L71">IF(AND(Table1__2[[#This Row],[pH]]&gt;=Table1__2[pH_Min],Table1__2[[#This Row],[pH]]&lt;=Table1__2[pH_Max]),"OK","Out")</f>
        <v>OK</v>
      </c>
      <c r="M71" t="str">
        <f>IF(D71&lt;=VLOOKUP("Turbidez_NTU",parametros!A:C,3,FALSE),"OK","Out")</f>
        <v>Out</v>
      </c>
      <c r="N71" t="str">
        <f>IF(F70&lt;=VLOOKUP("Cloruros_mgL",parametros!A:C,3,FALSE),"OK","Out")</f>
        <v>OK</v>
      </c>
      <c r="O71" t="str">
        <f t="shared" si="4"/>
        <v>NON-COMPLIANT</v>
      </c>
      <c r="P71" t="str">
        <f t="shared" si="5"/>
        <v>Critical</v>
      </c>
    </row>
    <row r="72" spans="1:16" x14ac:dyDescent="0.3">
      <c r="A72" s="1">
        <v>45728</v>
      </c>
      <c r="B72" t="s">
        <v>9</v>
      </c>
      <c r="C72">
        <v>6.44</v>
      </c>
      <c r="D72">
        <v>7.92</v>
      </c>
      <c r="E72">
        <v>160.80000000000001</v>
      </c>
      <c r="F72">
        <v>159.69999999999999</v>
      </c>
      <c r="G72">
        <v>1113.7</v>
      </c>
      <c r="H72" t="s">
        <v>10</v>
      </c>
      <c r="I72" t="s">
        <v>137</v>
      </c>
      <c r="J72">
        <f>VLOOKUP("pH",parametros!A:C,2,FALSE)</f>
        <v>6.5</v>
      </c>
      <c r="K72">
        <f>VLOOKUP("pH",parametros!A:C,3,FALSE)</f>
        <v>8.5</v>
      </c>
      <c r="L72" t="str" cm="1">
        <f t="array" ref="L72">IF(AND(Table1__2[[#This Row],[pH]]&gt;=Table1__2[pH_Min],Table1__2[[#This Row],[pH]]&lt;=Table1__2[pH_Max]),"OK","Out")</f>
        <v>Out</v>
      </c>
      <c r="M72" t="str">
        <f>IF(D72&lt;=VLOOKUP("Turbidez_NTU",parametros!A:C,3,FALSE),"OK","Out")</f>
        <v>Out</v>
      </c>
      <c r="N72" t="str">
        <f>IF(F71&lt;=VLOOKUP("Cloruros_mgL",parametros!A:C,3,FALSE),"OK","Out")</f>
        <v>OK</v>
      </c>
      <c r="O72" t="str">
        <f t="shared" si="4"/>
        <v>NON-COMPLIANT</v>
      </c>
      <c r="P72" t="str">
        <f t="shared" si="5"/>
        <v>Medium Risk</v>
      </c>
    </row>
    <row r="73" spans="1:16" x14ac:dyDescent="0.3">
      <c r="A73" s="1">
        <v>45729</v>
      </c>
      <c r="B73" t="s">
        <v>9</v>
      </c>
      <c r="C73">
        <v>6.98</v>
      </c>
      <c r="D73">
        <v>6.5</v>
      </c>
      <c r="E73">
        <v>129.19999999999999</v>
      </c>
      <c r="F73">
        <v>220.7</v>
      </c>
      <c r="G73">
        <v>627.4</v>
      </c>
      <c r="H73" t="s">
        <v>10</v>
      </c>
      <c r="I73" t="s">
        <v>137</v>
      </c>
      <c r="J73">
        <f>VLOOKUP("pH",parametros!A:C,2,FALSE)</f>
        <v>6.5</v>
      </c>
      <c r="K73">
        <f>VLOOKUP("pH",parametros!A:C,3,FALSE)</f>
        <v>8.5</v>
      </c>
      <c r="L73" t="str" cm="1">
        <f t="array" ref="L73">IF(AND(Table1__2[[#This Row],[pH]]&gt;=Table1__2[pH_Min],Table1__2[[#This Row],[pH]]&lt;=Table1__2[pH_Max]),"OK","Out")</f>
        <v>OK</v>
      </c>
      <c r="M73" t="str">
        <f>IF(D73&lt;=VLOOKUP("Turbidez_NTU",parametros!A:C,3,FALSE),"OK","Out")</f>
        <v>Out</v>
      </c>
      <c r="N73" t="str">
        <f>IF(F72&lt;=VLOOKUP("Cloruros_mgL",parametros!A:C,3,FALSE),"OK","Out")</f>
        <v>OK</v>
      </c>
      <c r="O73" t="str">
        <f t="shared" si="4"/>
        <v>NON-COMPLIANT</v>
      </c>
      <c r="P73" t="str">
        <f t="shared" si="5"/>
        <v>Medium Risk</v>
      </c>
    </row>
    <row r="74" spans="1:16" x14ac:dyDescent="0.3">
      <c r="A74" s="1">
        <v>45730</v>
      </c>
      <c r="B74" t="s">
        <v>22</v>
      </c>
      <c r="C74">
        <v>8.4700000000000006</v>
      </c>
      <c r="D74">
        <v>9.59</v>
      </c>
      <c r="E74">
        <v>318.10000000000002</v>
      </c>
      <c r="F74">
        <v>221.1</v>
      </c>
      <c r="G74">
        <v>491.8</v>
      </c>
      <c r="H74" t="s">
        <v>10</v>
      </c>
      <c r="I74" t="s">
        <v>137</v>
      </c>
      <c r="J74">
        <f>VLOOKUP("pH",parametros!A:C,2,FALSE)</f>
        <v>6.5</v>
      </c>
      <c r="K74">
        <f>VLOOKUP("pH",parametros!A:C,3,FALSE)</f>
        <v>8.5</v>
      </c>
      <c r="L74" t="str" cm="1">
        <f t="array" ref="L74">IF(AND(Table1__2[[#This Row],[pH]]&gt;=Table1__2[pH_Min],Table1__2[[#This Row],[pH]]&lt;=Table1__2[pH_Max]),"OK","Out")</f>
        <v>OK</v>
      </c>
      <c r="M74" t="str">
        <f>IF(D74&lt;=VLOOKUP("Turbidez_NTU",parametros!A:C,3,FALSE),"OK","Out")</f>
        <v>Out</v>
      </c>
      <c r="N74" t="str">
        <f>IF(F73&lt;=VLOOKUP("Cloruros_mgL",parametros!A:C,3,FALSE),"OK","Out")</f>
        <v>OK</v>
      </c>
      <c r="O74" t="str">
        <f t="shared" si="4"/>
        <v>NON-COMPLIANT</v>
      </c>
      <c r="P74" t="str">
        <f t="shared" si="5"/>
        <v>Medium Risk</v>
      </c>
    </row>
    <row r="75" spans="1:16" x14ac:dyDescent="0.3">
      <c r="A75" s="1">
        <v>45731</v>
      </c>
      <c r="B75" t="s">
        <v>18</v>
      </c>
      <c r="C75">
        <v>6.61</v>
      </c>
      <c r="D75">
        <v>11.93</v>
      </c>
      <c r="E75">
        <v>180.4</v>
      </c>
      <c r="F75">
        <v>34</v>
      </c>
      <c r="G75">
        <v>391.3</v>
      </c>
      <c r="H75" t="s">
        <v>10</v>
      </c>
      <c r="I75" t="s">
        <v>137</v>
      </c>
      <c r="J75">
        <f>VLOOKUP("pH",parametros!A:C,2,FALSE)</f>
        <v>6.5</v>
      </c>
      <c r="K75">
        <f>VLOOKUP("pH",parametros!A:C,3,FALSE)</f>
        <v>8.5</v>
      </c>
      <c r="L75" t="str" cm="1">
        <f t="array" ref="L75">IF(AND(Table1__2[[#This Row],[pH]]&gt;=Table1__2[pH_Min],Table1__2[[#This Row],[pH]]&lt;=Table1__2[pH_Max]),"OK","Out")</f>
        <v>OK</v>
      </c>
      <c r="M75" t="str">
        <f>IF(D75&lt;=VLOOKUP("Turbidez_NTU",parametros!A:C,3,FALSE),"OK","Out")</f>
        <v>Out</v>
      </c>
      <c r="N75" t="str">
        <f>IF(F74&lt;=VLOOKUP("Cloruros_mgL",parametros!A:C,3,FALSE),"OK","Out")</f>
        <v>OK</v>
      </c>
      <c r="O75" t="str">
        <f t="shared" si="4"/>
        <v>NON-COMPLIANT</v>
      </c>
      <c r="P75" t="str">
        <f t="shared" si="5"/>
        <v>Critical</v>
      </c>
    </row>
    <row r="76" spans="1:16" x14ac:dyDescent="0.3">
      <c r="A76" s="1">
        <v>45732</v>
      </c>
      <c r="B76" t="s">
        <v>12</v>
      </c>
      <c r="C76">
        <v>7.73</v>
      </c>
      <c r="D76">
        <v>5.84</v>
      </c>
      <c r="E76">
        <v>277.5</v>
      </c>
      <c r="F76">
        <v>78.7</v>
      </c>
      <c r="G76">
        <v>675</v>
      </c>
      <c r="H76" t="s">
        <v>10</v>
      </c>
      <c r="I76" t="s">
        <v>137</v>
      </c>
      <c r="J76">
        <f>VLOOKUP("pH",parametros!A:C,2,FALSE)</f>
        <v>6.5</v>
      </c>
      <c r="K76">
        <f>VLOOKUP("pH",parametros!A:C,3,FALSE)</f>
        <v>8.5</v>
      </c>
      <c r="L76" t="str" cm="1">
        <f t="array" ref="L76">IF(AND(Table1__2[[#This Row],[pH]]&gt;=Table1__2[pH_Min],Table1__2[[#This Row],[pH]]&lt;=Table1__2[pH_Max]),"OK","Out")</f>
        <v>OK</v>
      </c>
      <c r="M76" t="str">
        <f>IF(D76&lt;=VLOOKUP("Turbidez_NTU",parametros!A:C,3,FALSE),"OK","Out")</f>
        <v>Out</v>
      </c>
      <c r="N76" t="str">
        <f>IF(F75&lt;=VLOOKUP("Cloruros_mgL",parametros!A:C,3,FALSE),"OK","Out")</f>
        <v>OK</v>
      </c>
      <c r="O76" t="str">
        <f t="shared" si="4"/>
        <v>NON-COMPLIANT</v>
      </c>
      <c r="P76" t="str">
        <f t="shared" si="5"/>
        <v>Medium Risk</v>
      </c>
    </row>
    <row r="77" spans="1:16" x14ac:dyDescent="0.3">
      <c r="A77" s="1">
        <v>45733</v>
      </c>
      <c r="B77" t="s">
        <v>12</v>
      </c>
      <c r="C77">
        <v>8.18</v>
      </c>
      <c r="D77">
        <v>0.5</v>
      </c>
      <c r="E77">
        <v>294.89999999999998</v>
      </c>
      <c r="F77">
        <v>105.2</v>
      </c>
      <c r="G77">
        <v>826.8</v>
      </c>
      <c r="H77" t="s">
        <v>13</v>
      </c>
      <c r="I77" t="s">
        <v>137</v>
      </c>
      <c r="J77">
        <f>VLOOKUP("pH",parametros!A:C,2,FALSE)</f>
        <v>6.5</v>
      </c>
      <c r="K77">
        <f>VLOOKUP("pH",parametros!A:C,3,FALSE)</f>
        <v>8.5</v>
      </c>
      <c r="L77" t="str" cm="1">
        <f t="array" ref="L77">IF(AND(Table1__2[[#This Row],[pH]]&gt;=Table1__2[pH_Min],Table1__2[[#This Row],[pH]]&lt;=Table1__2[pH_Max]),"OK","Out")</f>
        <v>OK</v>
      </c>
      <c r="M77" t="str">
        <f>IF(D77&lt;=VLOOKUP("Turbidez_NTU",parametros!A:C,3,FALSE),"OK","Out")</f>
        <v>OK</v>
      </c>
      <c r="N77" t="str">
        <f>IF(F76&lt;=VLOOKUP("Cloruros_mgL",parametros!A:C,3,FALSE),"OK","Out")</f>
        <v>OK</v>
      </c>
      <c r="O77" t="str">
        <f t="shared" si="4"/>
        <v>COMPLIES</v>
      </c>
      <c r="P77" t="str">
        <f t="shared" si="5"/>
        <v>Medium Risk</v>
      </c>
    </row>
    <row r="78" spans="1:16" x14ac:dyDescent="0.3">
      <c r="A78" s="1">
        <v>45734</v>
      </c>
      <c r="B78" t="s">
        <v>22</v>
      </c>
      <c r="C78">
        <v>7.76</v>
      </c>
      <c r="D78">
        <v>10.94</v>
      </c>
      <c r="E78">
        <v>96.8</v>
      </c>
      <c r="F78">
        <v>180.3</v>
      </c>
      <c r="G78">
        <v>202.5</v>
      </c>
      <c r="H78" t="s">
        <v>10</v>
      </c>
      <c r="I78" t="s">
        <v>137</v>
      </c>
      <c r="J78">
        <f>VLOOKUP("pH",parametros!A:C,2,FALSE)</f>
        <v>6.5</v>
      </c>
      <c r="K78">
        <f>VLOOKUP("pH",parametros!A:C,3,FALSE)</f>
        <v>8.5</v>
      </c>
      <c r="L78" t="str" cm="1">
        <f t="array" ref="L78">IF(AND(Table1__2[[#This Row],[pH]]&gt;=Table1__2[pH_Min],Table1__2[[#This Row],[pH]]&lt;=Table1__2[pH_Max]),"OK","Out")</f>
        <v>OK</v>
      </c>
      <c r="M78" t="str">
        <f>IF(D78&lt;=VLOOKUP("Turbidez_NTU",parametros!A:C,3,FALSE),"OK","Out")</f>
        <v>Out</v>
      </c>
      <c r="N78" t="str">
        <f>IF(F77&lt;=VLOOKUP("Cloruros_mgL",parametros!A:C,3,FALSE),"OK","Out")</f>
        <v>OK</v>
      </c>
      <c r="O78" t="str">
        <f t="shared" si="4"/>
        <v>NON-COMPLIANT</v>
      </c>
      <c r="P78" t="str">
        <f t="shared" si="5"/>
        <v>Critical</v>
      </c>
    </row>
    <row r="79" spans="1:16" x14ac:dyDescent="0.3">
      <c r="A79" s="1">
        <v>45735</v>
      </c>
      <c r="B79" t="s">
        <v>22</v>
      </c>
      <c r="C79">
        <v>7.74</v>
      </c>
      <c r="D79">
        <v>6.61</v>
      </c>
      <c r="E79">
        <v>279.89999999999998</v>
      </c>
      <c r="F79">
        <v>195.9</v>
      </c>
      <c r="G79">
        <v>912.7</v>
      </c>
      <c r="H79" t="s">
        <v>10</v>
      </c>
      <c r="I79" t="s">
        <v>137</v>
      </c>
      <c r="J79">
        <f>VLOOKUP("pH",parametros!A:C,2,FALSE)</f>
        <v>6.5</v>
      </c>
      <c r="K79">
        <f>VLOOKUP("pH",parametros!A:C,3,FALSE)</f>
        <v>8.5</v>
      </c>
      <c r="L79" t="str" cm="1">
        <f t="array" ref="L79">IF(AND(Table1__2[[#This Row],[pH]]&gt;=Table1__2[pH_Min],Table1__2[[#This Row],[pH]]&lt;=Table1__2[pH_Max]),"OK","Out")</f>
        <v>OK</v>
      </c>
      <c r="M79" t="str">
        <f>IF(D79&lt;=VLOOKUP("Turbidez_NTU",parametros!A:C,3,FALSE),"OK","Out")</f>
        <v>Out</v>
      </c>
      <c r="N79" t="str">
        <f>IF(F78&lt;=VLOOKUP("Cloruros_mgL",parametros!A:C,3,FALSE),"OK","Out")</f>
        <v>OK</v>
      </c>
      <c r="O79" t="str">
        <f t="shared" si="4"/>
        <v>NON-COMPLIANT</v>
      </c>
      <c r="P79" t="str">
        <f t="shared" si="5"/>
        <v>Medium Risk</v>
      </c>
    </row>
    <row r="80" spans="1:16" x14ac:dyDescent="0.3">
      <c r="A80" s="1">
        <v>45736</v>
      </c>
      <c r="B80" t="s">
        <v>22</v>
      </c>
      <c r="C80">
        <v>8.08</v>
      </c>
      <c r="D80">
        <v>5.53</v>
      </c>
      <c r="E80">
        <v>116.6</v>
      </c>
      <c r="F80">
        <v>27.5</v>
      </c>
      <c r="G80">
        <v>892.1</v>
      </c>
      <c r="H80" t="s">
        <v>10</v>
      </c>
      <c r="I80" t="s">
        <v>137</v>
      </c>
      <c r="J80">
        <f>VLOOKUP("pH",parametros!A:C,2,FALSE)</f>
        <v>6.5</v>
      </c>
      <c r="K80">
        <f>VLOOKUP("pH",parametros!A:C,3,FALSE)</f>
        <v>8.5</v>
      </c>
      <c r="L80" t="str" cm="1">
        <f t="array" ref="L80">IF(AND(Table1__2[[#This Row],[pH]]&gt;=Table1__2[pH_Min],Table1__2[[#This Row],[pH]]&lt;=Table1__2[pH_Max]),"OK","Out")</f>
        <v>OK</v>
      </c>
      <c r="M80" t="str">
        <f>IF(D80&lt;=VLOOKUP("Turbidez_NTU",parametros!A:C,3,FALSE),"OK","Out")</f>
        <v>Out</v>
      </c>
      <c r="N80" t="str">
        <f>IF(F79&lt;=VLOOKUP("Cloruros_mgL",parametros!A:C,3,FALSE),"OK","Out")</f>
        <v>OK</v>
      </c>
      <c r="O80" t="str">
        <f t="shared" si="4"/>
        <v>NON-COMPLIANT</v>
      </c>
      <c r="P80" t="str">
        <f t="shared" si="5"/>
        <v>Medium Risk</v>
      </c>
    </row>
    <row r="81" spans="1:16" x14ac:dyDescent="0.3">
      <c r="A81" s="1">
        <v>45737</v>
      </c>
      <c r="B81" t="s">
        <v>12</v>
      </c>
      <c r="C81">
        <v>7.08</v>
      </c>
      <c r="D81">
        <v>2.64</v>
      </c>
      <c r="E81">
        <v>81.3</v>
      </c>
      <c r="F81">
        <v>33.200000000000003</v>
      </c>
      <c r="G81">
        <v>843.4</v>
      </c>
      <c r="H81" t="s">
        <v>13</v>
      </c>
      <c r="I81" t="s">
        <v>137</v>
      </c>
      <c r="J81">
        <f>VLOOKUP("pH",parametros!A:C,2,FALSE)</f>
        <v>6.5</v>
      </c>
      <c r="K81">
        <f>VLOOKUP("pH",parametros!A:C,3,FALSE)</f>
        <v>8.5</v>
      </c>
      <c r="L81" t="str" cm="1">
        <f t="array" ref="L81">IF(AND(Table1__2[[#This Row],[pH]]&gt;=Table1__2[pH_Min],Table1__2[[#This Row],[pH]]&lt;=Table1__2[pH_Max]),"OK","Out")</f>
        <v>OK</v>
      </c>
      <c r="M81" t="str">
        <f>IF(D81&lt;=VLOOKUP("Turbidez_NTU",parametros!A:C,3,FALSE),"OK","Out")</f>
        <v>OK</v>
      </c>
      <c r="N81" t="str">
        <f>IF(F80&lt;=VLOOKUP("Cloruros_mgL",parametros!A:C,3,FALSE),"OK","Out")</f>
        <v>OK</v>
      </c>
      <c r="O81" t="str">
        <f t="shared" si="4"/>
        <v>COMPLIES</v>
      </c>
      <c r="P81" t="str">
        <f t="shared" si="5"/>
        <v>Medium Risk</v>
      </c>
    </row>
    <row r="82" spans="1:16" x14ac:dyDescent="0.3">
      <c r="A82" s="1">
        <v>45738</v>
      </c>
      <c r="B82" t="s">
        <v>12</v>
      </c>
      <c r="C82">
        <v>7.37</v>
      </c>
      <c r="D82">
        <v>10.33</v>
      </c>
      <c r="E82">
        <v>167.2</v>
      </c>
      <c r="F82">
        <v>44.6</v>
      </c>
      <c r="G82">
        <v>248.1</v>
      </c>
      <c r="H82" t="s">
        <v>10</v>
      </c>
      <c r="I82" t="s">
        <v>137</v>
      </c>
      <c r="J82">
        <f>VLOOKUP("pH",parametros!A:C,2,FALSE)</f>
        <v>6.5</v>
      </c>
      <c r="K82">
        <f>VLOOKUP("pH",parametros!A:C,3,FALSE)</f>
        <v>8.5</v>
      </c>
      <c r="L82" t="str" cm="1">
        <f t="array" ref="L82">IF(AND(Table1__2[[#This Row],[pH]]&gt;=Table1__2[pH_Min],Table1__2[[#This Row],[pH]]&lt;=Table1__2[pH_Max]),"OK","Out")</f>
        <v>OK</v>
      </c>
      <c r="M82" t="str">
        <f>IF(D82&lt;=VLOOKUP("Turbidez_NTU",parametros!A:C,3,FALSE),"OK","Out")</f>
        <v>Out</v>
      </c>
      <c r="N82" t="str">
        <f>IF(F81&lt;=VLOOKUP("Cloruros_mgL",parametros!A:C,3,FALSE),"OK","Out")</f>
        <v>OK</v>
      </c>
      <c r="O82" t="str">
        <f t="shared" si="4"/>
        <v>NON-COMPLIANT</v>
      </c>
      <c r="P82" t="str">
        <f t="shared" si="5"/>
        <v>Critical</v>
      </c>
    </row>
    <row r="83" spans="1:16" x14ac:dyDescent="0.3">
      <c r="A83" s="1">
        <v>45739</v>
      </c>
      <c r="B83" t="s">
        <v>16</v>
      </c>
      <c r="C83">
        <v>6.39</v>
      </c>
      <c r="D83">
        <v>11.71</v>
      </c>
      <c r="E83">
        <v>168.2</v>
      </c>
      <c r="F83">
        <v>172.5</v>
      </c>
      <c r="G83">
        <v>1091</v>
      </c>
      <c r="H83" t="s">
        <v>10</v>
      </c>
      <c r="I83" t="s">
        <v>137</v>
      </c>
      <c r="J83">
        <f>VLOOKUP("pH",parametros!A:C,2,FALSE)</f>
        <v>6.5</v>
      </c>
      <c r="K83">
        <f>VLOOKUP("pH",parametros!A:C,3,FALSE)</f>
        <v>8.5</v>
      </c>
      <c r="L83" t="str" cm="1">
        <f t="array" ref="L83">IF(AND(Table1__2[[#This Row],[pH]]&gt;=Table1__2[pH_Min],Table1__2[[#This Row],[pH]]&lt;=Table1__2[pH_Max]),"OK","Out")</f>
        <v>Out</v>
      </c>
      <c r="M83" t="str">
        <f>IF(D83&lt;=VLOOKUP("Turbidez_NTU",parametros!A:C,3,FALSE),"OK","Out")</f>
        <v>Out</v>
      </c>
      <c r="N83" t="str">
        <f>IF(F82&lt;=VLOOKUP("Cloruros_mgL",parametros!A:C,3,FALSE),"OK","Out")</f>
        <v>OK</v>
      </c>
      <c r="O83" t="str">
        <f t="shared" si="4"/>
        <v>NON-COMPLIANT</v>
      </c>
      <c r="P83" t="str">
        <f t="shared" si="5"/>
        <v>Critical</v>
      </c>
    </row>
    <row r="84" spans="1:16" x14ac:dyDescent="0.3">
      <c r="A84" s="1">
        <v>45740</v>
      </c>
      <c r="B84" t="s">
        <v>28</v>
      </c>
      <c r="C84">
        <v>7.34</v>
      </c>
      <c r="D84">
        <v>5.08</v>
      </c>
      <c r="E84">
        <v>151.30000000000001</v>
      </c>
      <c r="F84">
        <v>155.6</v>
      </c>
      <c r="G84">
        <v>1097.0999999999999</v>
      </c>
      <c r="H84" t="s">
        <v>10</v>
      </c>
      <c r="I84" t="s">
        <v>137</v>
      </c>
      <c r="J84">
        <f>VLOOKUP("pH",parametros!A:C,2,FALSE)</f>
        <v>6.5</v>
      </c>
      <c r="K84">
        <f>VLOOKUP("pH",parametros!A:C,3,FALSE)</f>
        <v>8.5</v>
      </c>
      <c r="L84" t="str" cm="1">
        <f t="array" ref="L84">IF(AND(Table1__2[[#This Row],[pH]]&gt;=Table1__2[pH_Min],Table1__2[[#This Row],[pH]]&lt;=Table1__2[pH_Max]),"OK","Out")</f>
        <v>OK</v>
      </c>
      <c r="M84" t="str">
        <f>IF(D84&lt;=VLOOKUP("Turbidez_NTU",parametros!A:C,3,FALSE),"OK","Out")</f>
        <v>Out</v>
      </c>
      <c r="N84" t="str">
        <f>IF(F83&lt;=VLOOKUP("Cloruros_mgL",parametros!A:C,3,FALSE),"OK","Out")</f>
        <v>OK</v>
      </c>
      <c r="O84" t="str">
        <f t="shared" si="4"/>
        <v>NON-COMPLIANT</v>
      </c>
      <c r="P84" t="str">
        <f t="shared" si="5"/>
        <v>Medium Risk</v>
      </c>
    </row>
    <row r="85" spans="1:16" x14ac:dyDescent="0.3">
      <c r="A85" s="1">
        <v>45741</v>
      </c>
      <c r="B85" t="s">
        <v>9</v>
      </c>
      <c r="C85">
        <v>7.56</v>
      </c>
      <c r="D85">
        <v>2.76</v>
      </c>
      <c r="E85">
        <v>117.4</v>
      </c>
      <c r="F85">
        <v>53.5</v>
      </c>
      <c r="G85">
        <v>287.39999999999998</v>
      </c>
      <c r="H85" t="s">
        <v>13</v>
      </c>
      <c r="I85" t="s">
        <v>137</v>
      </c>
      <c r="J85">
        <f>VLOOKUP("pH",parametros!A:C,2,FALSE)</f>
        <v>6.5</v>
      </c>
      <c r="K85">
        <f>VLOOKUP("pH",parametros!A:C,3,FALSE)</f>
        <v>8.5</v>
      </c>
      <c r="L85" t="str" cm="1">
        <f t="array" ref="L85">IF(AND(Table1__2[[#This Row],[pH]]&gt;=Table1__2[pH_Min],Table1__2[[#This Row],[pH]]&lt;=Table1__2[pH_Max]),"OK","Out")</f>
        <v>OK</v>
      </c>
      <c r="M85" t="str">
        <f>IF(D85&lt;=VLOOKUP("Turbidez_NTU",parametros!A:C,3,FALSE),"OK","Out")</f>
        <v>OK</v>
      </c>
      <c r="N85" t="str">
        <f>IF(F84&lt;=VLOOKUP("Cloruros_mgL",parametros!A:C,3,FALSE),"OK","Out")</f>
        <v>OK</v>
      </c>
      <c r="O85" t="str">
        <f t="shared" si="4"/>
        <v>COMPLIES</v>
      </c>
      <c r="P85" t="str">
        <f t="shared" si="5"/>
        <v>Medium Risk</v>
      </c>
    </row>
    <row r="86" spans="1:16" x14ac:dyDescent="0.3">
      <c r="A86" s="1">
        <v>45742</v>
      </c>
      <c r="B86" t="s">
        <v>22</v>
      </c>
      <c r="C86">
        <v>7.03</v>
      </c>
      <c r="D86">
        <v>5.62</v>
      </c>
      <c r="E86">
        <v>245.7</v>
      </c>
      <c r="F86">
        <v>207.1</v>
      </c>
      <c r="G86">
        <v>1008.5</v>
      </c>
      <c r="H86" t="s">
        <v>10</v>
      </c>
      <c r="I86" t="s">
        <v>137</v>
      </c>
      <c r="J86">
        <f>VLOOKUP("pH",parametros!A:C,2,FALSE)</f>
        <v>6.5</v>
      </c>
      <c r="K86">
        <f>VLOOKUP("pH",parametros!A:C,3,FALSE)</f>
        <v>8.5</v>
      </c>
      <c r="L86" t="str" cm="1">
        <f t="array" ref="L86">IF(AND(Table1__2[[#This Row],[pH]]&gt;=Table1__2[pH_Min],Table1__2[[#This Row],[pH]]&lt;=Table1__2[pH_Max]),"OK","Out")</f>
        <v>OK</v>
      </c>
      <c r="M86" t="str">
        <f>IF(D86&lt;=VLOOKUP("Turbidez_NTU",parametros!A:C,3,FALSE),"OK","Out")</f>
        <v>Out</v>
      </c>
      <c r="N86" t="str">
        <f>IF(F85&lt;=VLOOKUP("Cloruros_mgL",parametros!A:C,3,FALSE),"OK","Out")</f>
        <v>OK</v>
      </c>
      <c r="O86" t="str">
        <f t="shared" si="4"/>
        <v>NON-COMPLIANT</v>
      </c>
      <c r="P86" t="str">
        <f t="shared" si="5"/>
        <v>Medium Risk</v>
      </c>
    </row>
    <row r="87" spans="1:16" x14ac:dyDescent="0.3">
      <c r="A87" s="1">
        <v>45743</v>
      </c>
      <c r="B87" t="s">
        <v>18</v>
      </c>
      <c r="C87">
        <v>8.2100000000000009</v>
      </c>
      <c r="D87">
        <v>0.9</v>
      </c>
      <c r="E87">
        <v>101.9</v>
      </c>
      <c r="F87">
        <v>180</v>
      </c>
      <c r="G87">
        <v>662.3</v>
      </c>
      <c r="H87" t="s">
        <v>13</v>
      </c>
      <c r="I87" t="s">
        <v>137</v>
      </c>
      <c r="J87">
        <f>VLOOKUP("pH",parametros!A:C,2,FALSE)</f>
        <v>6.5</v>
      </c>
      <c r="K87">
        <f>VLOOKUP("pH",parametros!A:C,3,FALSE)</f>
        <v>8.5</v>
      </c>
      <c r="L87" t="str" cm="1">
        <f t="array" ref="L87">IF(AND(Table1__2[[#This Row],[pH]]&gt;=Table1__2[pH_Min],Table1__2[[#This Row],[pH]]&lt;=Table1__2[pH_Max]),"OK","Out")</f>
        <v>OK</v>
      </c>
      <c r="M87" t="str">
        <f>IF(D87&lt;=VLOOKUP("Turbidez_NTU",parametros!A:C,3,FALSE),"OK","Out")</f>
        <v>OK</v>
      </c>
      <c r="N87" t="str">
        <f>IF(F86&lt;=VLOOKUP("Cloruros_mgL",parametros!A:C,3,FALSE),"OK","Out")</f>
        <v>OK</v>
      </c>
      <c r="O87" t="str">
        <f t="shared" si="4"/>
        <v>COMPLIES</v>
      </c>
      <c r="P87" t="str">
        <f t="shared" si="5"/>
        <v>Medium Risk</v>
      </c>
    </row>
    <row r="88" spans="1:16" x14ac:dyDescent="0.3">
      <c r="A88" s="1">
        <v>45744</v>
      </c>
      <c r="B88" t="s">
        <v>18</v>
      </c>
      <c r="C88">
        <v>6.85</v>
      </c>
      <c r="D88">
        <v>7.89</v>
      </c>
      <c r="E88">
        <v>166.2</v>
      </c>
      <c r="F88">
        <v>226.6</v>
      </c>
      <c r="G88">
        <v>328</v>
      </c>
      <c r="H88" t="s">
        <v>10</v>
      </c>
      <c r="I88" t="s">
        <v>137</v>
      </c>
      <c r="J88">
        <f>VLOOKUP("pH",parametros!A:C,2,FALSE)</f>
        <v>6.5</v>
      </c>
      <c r="K88">
        <f>VLOOKUP("pH",parametros!A:C,3,FALSE)</f>
        <v>8.5</v>
      </c>
      <c r="L88" t="str" cm="1">
        <f t="array" ref="L88">IF(AND(Table1__2[[#This Row],[pH]]&gt;=Table1__2[pH_Min],Table1__2[[#This Row],[pH]]&lt;=Table1__2[pH_Max]),"OK","Out")</f>
        <v>OK</v>
      </c>
      <c r="M88" t="str">
        <f>IF(D88&lt;=VLOOKUP("Turbidez_NTU",parametros!A:C,3,FALSE),"OK","Out")</f>
        <v>Out</v>
      </c>
      <c r="N88" t="str">
        <f>IF(F87&lt;=VLOOKUP("Cloruros_mgL",parametros!A:C,3,FALSE),"OK","Out")</f>
        <v>OK</v>
      </c>
      <c r="O88" t="str">
        <f t="shared" si="4"/>
        <v>NON-COMPLIANT</v>
      </c>
      <c r="P88" t="str">
        <f t="shared" si="5"/>
        <v>Medium Risk</v>
      </c>
    </row>
    <row r="89" spans="1:16" x14ac:dyDescent="0.3">
      <c r="A89" s="1">
        <v>45745</v>
      </c>
      <c r="B89" t="s">
        <v>22</v>
      </c>
      <c r="C89">
        <v>7.03</v>
      </c>
      <c r="D89">
        <v>1.17</v>
      </c>
      <c r="E89">
        <v>110</v>
      </c>
      <c r="F89">
        <v>207.7</v>
      </c>
      <c r="G89">
        <v>723.6</v>
      </c>
      <c r="H89" t="s">
        <v>13</v>
      </c>
      <c r="I89" t="s">
        <v>137</v>
      </c>
      <c r="J89">
        <f>VLOOKUP("pH",parametros!A:C,2,FALSE)</f>
        <v>6.5</v>
      </c>
      <c r="K89">
        <f>VLOOKUP("pH",parametros!A:C,3,FALSE)</f>
        <v>8.5</v>
      </c>
      <c r="L89" t="str" cm="1">
        <f t="array" ref="L89">IF(AND(Table1__2[[#This Row],[pH]]&gt;=Table1__2[pH_Min],Table1__2[[#This Row],[pH]]&lt;=Table1__2[pH_Max]),"OK","Out")</f>
        <v>OK</v>
      </c>
      <c r="M89" t="str">
        <f>IF(D89&lt;=VLOOKUP("Turbidez_NTU",parametros!A:C,3,FALSE),"OK","Out")</f>
        <v>OK</v>
      </c>
      <c r="N89" t="str">
        <f>IF(F88&lt;=VLOOKUP("Cloruros_mgL",parametros!A:C,3,FALSE),"OK","Out")</f>
        <v>OK</v>
      </c>
      <c r="O89" t="str">
        <f t="shared" si="4"/>
        <v>COMPLIES</v>
      </c>
      <c r="P89" t="str">
        <f t="shared" si="5"/>
        <v>Medium Risk</v>
      </c>
    </row>
    <row r="90" spans="1:16" x14ac:dyDescent="0.3">
      <c r="A90" s="1">
        <v>45746</v>
      </c>
      <c r="B90" t="s">
        <v>9</v>
      </c>
      <c r="C90">
        <v>7.34</v>
      </c>
      <c r="D90">
        <v>6.32</v>
      </c>
      <c r="E90">
        <v>195.5</v>
      </c>
      <c r="F90">
        <v>47.7</v>
      </c>
      <c r="G90">
        <v>602.4</v>
      </c>
      <c r="H90" t="s">
        <v>10</v>
      </c>
      <c r="I90" t="s">
        <v>137</v>
      </c>
      <c r="J90">
        <f>VLOOKUP("pH",parametros!A:C,2,FALSE)</f>
        <v>6.5</v>
      </c>
      <c r="K90">
        <f>VLOOKUP("pH",parametros!A:C,3,FALSE)</f>
        <v>8.5</v>
      </c>
      <c r="L90" t="str" cm="1">
        <f t="array" ref="L90">IF(AND(Table1__2[[#This Row],[pH]]&gt;=Table1__2[pH_Min],Table1__2[[#This Row],[pH]]&lt;=Table1__2[pH_Max]),"OK","Out")</f>
        <v>OK</v>
      </c>
      <c r="M90" t="str">
        <f>IF(D90&lt;=VLOOKUP("Turbidez_NTU",parametros!A:C,3,FALSE),"OK","Out")</f>
        <v>Out</v>
      </c>
      <c r="N90" t="str">
        <f>IF(F89&lt;=VLOOKUP("Cloruros_mgL",parametros!A:C,3,FALSE),"OK","Out")</f>
        <v>OK</v>
      </c>
      <c r="O90" t="str">
        <f t="shared" si="4"/>
        <v>NON-COMPLIANT</v>
      </c>
      <c r="P90" t="str">
        <f t="shared" si="5"/>
        <v>Medium Risk</v>
      </c>
    </row>
    <row r="91" spans="1:16" x14ac:dyDescent="0.3">
      <c r="A91" s="1">
        <v>45747</v>
      </c>
      <c r="B91" t="s">
        <v>12</v>
      </c>
      <c r="C91">
        <v>6.89</v>
      </c>
      <c r="D91">
        <v>6.85</v>
      </c>
      <c r="E91">
        <v>216.3</v>
      </c>
      <c r="F91">
        <v>21.5</v>
      </c>
      <c r="G91">
        <v>952.2</v>
      </c>
      <c r="H91" t="s">
        <v>10</v>
      </c>
      <c r="I91" t="s">
        <v>137</v>
      </c>
      <c r="J91">
        <f>VLOOKUP("pH",parametros!A:C,2,FALSE)</f>
        <v>6.5</v>
      </c>
      <c r="K91">
        <f>VLOOKUP("pH",parametros!A:C,3,FALSE)</f>
        <v>8.5</v>
      </c>
      <c r="L91" t="str" cm="1">
        <f t="array" ref="L91">IF(AND(Table1__2[[#This Row],[pH]]&gt;=Table1__2[pH_Min],Table1__2[[#This Row],[pH]]&lt;=Table1__2[pH_Max]),"OK","Out")</f>
        <v>OK</v>
      </c>
      <c r="M91" t="str">
        <f>IF(D91&lt;=VLOOKUP("Turbidez_NTU",parametros!A:C,3,FALSE),"OK","Out")</f>
        <v>Out</v>
      </c>
      <c r="N91" t="str">
        <f>IF(F90&lt;=VLOOKUP("Cloruros_mgL",parametros!A:C,3,FALSE),"OK","Out")</f>
        <v>OK</v>
      </c>
      <c r="O91" t="str">
        <f t="shared" si="4"/>
        <v>NON-COMPLIANT</v>
      </c>
      <c r="P91" t="str">
        <f t="shared" si="5"/>
        <v>Medium Risk</v>
      </c>
    </row>
    <row r="92" spans="1:16" x14ac:dyDescent="0.3">
      <c r="A92" s="1">
        <v>45748</v>
      </c>
      <c r="B92" t="s">
        <v>9</v>
      </c>
      <c r="C92">
        <v>7.61</v>
      </c>
      <c r="D92">
        <v>11.16</v>
      </c>
      <c r="E92">
        <v>246.8</v>
      </c>
      <c r="F92">
        <v>132.5</v>
      </c>
      <c r="G92">
        <v>519.79999999999995</v>
      </c>
      <c r="H92" t="s">
        <v>10</v>
      </c>
      <c r="I92" t="s">
        <v>137</v>
      </c>
      <c r="J92">
        <f>VLOOKUP("pH",parametros!A:C,2,FALSE)</f>
        <v>6.5</v>
      </c>
      <c r="K92">
        <f>VLOOKUP("pH",parametros!A:C,3,FALSE)</f>
        <v>8.5</v>
      </c>
      <c r="L92" t="str" cm="1">
        <f t="array" ref="L92">IF(AND(Table1__2[[#This Row],[pH]]&gt;=Table1__2[pH_Min],Table1__2[[#This Row],[pH]]&lt;=Table1__2[pH_Max]),"OK","Out")</f>
        <v>OK</v>
      </c>
      <c r="M92" t="str">
        <f>IF(D92&lt;=VLOOKUP("Turbidez_NTU",parametros!A:C,3,FALSE),"OK","Out")</f>
        <v>Out</v>
      </c>
      <c r="N92" t="str">
        <f>IF(F91&lt;=VLOOKUP("Cloruros_mgL",parametros!A:C,3,FALSE),"OK","Out")</f>
        <v>OK</v>
      </c>
      <c r="O92" t="str">
        <f t="shared" si="4"/>
        <v>NON-COMPLIANT</v>
      </c>
      <c r="P92" t="str">
        <f t="shared" si="5"/>
        <v>Critical</v>
      </c>
    </row>
    <row r="93" spans="1:16" x14ac:dyDescent="0.3">
      <c r="A93" s="1">
        <v>45749</v>
      </c>
      <c r="B93" t="s">
        <v>18</v>
      </c>
      <c r="C93">
        <v>7.68</v>
      </c>
      <c r="D93">
        <v>10.74</v>
      </c>
      <c r="E93">
        <v>225.7</v>
      </c>
      <c r="F93">
        <v>191.2</v>
      </c>
      <c r="G93">
        <v>215.2</v>
      </c>
      <c r="H93" t="s">
        <v>10</v>
      </c>
      <c r="I93" t="s">
        <v>137</v>
      </c>
      <c r="J93">
        <f>VLOOKUP("pH",parametros!A:C,2,FALSE)</f>
        <v>6.5</v>
      </c>
      <c r="K93">
        <f>VLOOKUP("pH",parametros!A:C,3,FALSE)</f>
        <v>8.5</v>
      </c>
      <c r="L93" t="str" cm="1">
        <f t="array" ref="L93">IF(AND(Table1__2[[#This Row],[pH]]&gt;=Table1__2[pH_Min],Table1__2[[#This Row],[pH]]&lt;=Table1__2[pH_Max]),"OK","Out")</f>
        <v>OK</v>
      </c>
      <c r="M93" t="str">
        <f>IF(D93&lt;=VLOOKUP("Turbidez_NTU",parametros!A:C,3,FALSE),"OK","Out")</f>
        <v>Out</v>
      </c>
      <c r="N93" t="str">
        <f>IF(F92&lt;=VLOOKUP("Cloruros_mgL",parametros!A:C,3,FALSE),"OK","Out")</f>
        <v>OK</v>
      </c>
      <c r="O93" t="str">
        <f t="shared" si="4"/>
        <v>NON-COMPLIANT</v>
      </c>
      <c r="P93" t="str">
        <f t="shared" si="5"/>
        <v>Critical</v>
      </c>
    </row>
    <row r="94" spans="1:16" x14ac:dyDescent="0.3">
      <c r="A94" s="1">
        <v>45750</v>
      </c>
      <c r="B94" t="s">
        <v>22</v>
      </c>
      <c r="C94">
        <v>7.38</v>
      </c>
      <c r="D94">
        <v>3.75</v>
      </c>
      <c r="E94">
        <v>175.3</v>
      </c>
      <c r="F94">
        <v>41.5</v>
      </c>
      <c r="G94">
        <v>855</v>
      </c>
      <c r="H94" t="s">
        <v>13</v>
      </c>
      <c r="I94" t="s">
        <v>137</v>
      </c>
      <c r="J94">
        <f>VLOOKUP("pH",parametros!A:C,2,FALSE)</f>
        <v>6.5</v>
      </c>
      <c r="K94">
        <f>VLOOKUP("pH",parametros!A:C,3,FALSE)</f>
        <v>8.5</v>
      </c>
      <c r="L94" t="str" cm="1">
        <f t="array" ref="L94">IF(AND(Table1__2[[#This Row],[pH]]&gt;=Table1__2[pH_Min],Table1__2[[#This Row],[pH]]&lt;=Table1__2[pH_Max]),"OK","Out")</f>
        <v>OK</v>
      </c>
      <c r="M94" t="str">
        <f>IF(D94&lt;=VLOOKUP("Turbidez_NTU",parametros!A:C,3,FALSE),"OK","Out")</f>
        <v>OK</v>
      </c>
      <c r="N94" t="str">
        <f>IF(F93&lt;=VLOOKUP("Cloruros_mgL",parametros!A:C,3,FALSE),"OK","Out")</f>
        <v>OK</v>
      </c>
      <c r="O94" t="str">
        <f t="shared" si="4"/>
        <v>COMPLIES</v>
      </c>
      <c r="P94" t="str">
        <f t="shared" si="5"/>
        <v>Medium Risk</v>
      </c>
    </row>
    <row r="95" spans="1:16" x14ac:dyDescent="0.3">
      <c r="A95" s="1">
        <v>45751</v>
      </c>
      <c r="B95" t="s">
        <v>22</v>
      </c>
      <c r="C95">
        <v>8.0399999999999991</v>
      </c>
      <c r="D95">
        <v>1.75</v>
      </c>
      <c r="E95">
        <v>262.3</v>
      </c>
      <c r="F95">
        <v>119.5</v>
      </c>
      <c r="G95">
        <v>176.1</v>
      </c>
      <c r="H95" t="s">
        <v>13</v>
      </c>
      <c r="I95" t="s">
        <v>137</v>
      </c>
      <c r="J95">
        <f>VLOOKUP("pH",parametros!A:C,2,FALSE)</f>
        <v>6.5</v>
      </c>
      <c r="K95">
        <f>VLOOKUP("pH",parametros!A:C,3,FALSE)</f>
        <v>8.5</v>
      </c>
      <c r="L95" t="str" cm="1">
        <f t="array" ref="L95">IF(AND(Table1__2[[#This Row],[pH]]&gt;=Table1__2[pH_Min],Table1__2[[#This Row],[pH]]&lt;=Table1__2[pH_Max]),"OK","Out")</f>
        <v>OK</v>
      </c>
      <c r="M95" t="str">
        <f>IF(D95&lt;=VLOOKUP("Turbidez_NTU",parametros!A:C,3,FALSE),"OK","Out")</f>
        <v>OK</v>
      </c>
      <c r="N95" t="str">
        <f>IF(F94&lt;=VLOOKUP("Cloruros_mgL",parametros!A:C,3,FALSE),"OK","Out")</f>
        <v>OK</v>
      </c>
      <c r="O95" t="str">
        <f t="shared" si="4"/>
        <v>COMPLIES</v>
      </c>
      <c r="P95" t="str">
        <f t="shared" si="5"/>
        <v>Medium Risk</v>
      </c>
    </row>
    <row r="96" spans="1:16" x14ac:dyDescent="0.3">
      <c r="A96" s="1">
        <v>45752</v>
      </c>
      <c r="B96" t="s">
        <v>18</v>
      </c>
      <c r="C96">
        <v>8.43</v>
      </c>
      <c r="D96">
        <v>6.61</v>
      </c>
      <c r="E96">
        <v>256.5</v>
      </c>
      <c r="F96">
        <v>249.1</v>
      </c>
      <c r="G96">
        <v>1181.9000000000001</v>
      </c>
      <c r="H96" t="s">
        <v>10</v>
      </c>
      <c r="I96" t="s">
        <v>137</v>
      </c>
      <c r="J96">
        <f>VLOOKUP("pH",parametros!A:C,2,FALSE)</f>
        <v>6.5</v>
      </c>
      <c r="K96">
        <f>VLOOKUP("pH",parametros!A:C,3,FALSE)</f>
        <v>8.5</v>
      </c>
      <c r="L96" t="str" cm="1">
        <f t="array" ref="L96">IF(AND(Table1__2[[#This Row],[pH]]&gt;=Table1__2[pH_Min],Table1__2[[#This Row],[pH]]&lt;=Table1__2[pH_Max]),"OK","Out")</f>
        <v>OK</v>
      </c>
      <c r="M96" t="str">
        <f>IF(D96&lt;=VLOOKUP("Turbidez_NTU",parametros!A:C,3,FALSE),"OK","Out")</f>
        <v>Out</v>
      </c>
      <c r="N96" t="str">
        <f>IF(F95&lt;=VLOOKUP("Cloruros_mgL",parametros!A:C,3,FALSE),"OK","Out")</f>
        <v>OK</v>
      </c>
      <c r="O96" t="str">
        <f t="shared" si="4"/>
        <v>NON-COMPLIANT</v>
      </c>
      <c r="P96" t="str">
        <f t="shared" si="5"/>
        <v>Medium Risk</v>
      </c>
    </row>
    <row r="97" spans="1:16" x14ac:dyDescent="0.3">
      <c r="A97" s="1">
        <v>45753</v>
      </c>
      <c r="B97" t="s">
        <v>16</v>
      </c>
      <c r="C97">
        <v>7.3</v>
      </c>
      <c r="D97">
        <v>4.01</v>
      </c>
      <c r="E97">
        <v>124.7</v>
      </c>
      <c r="F97">
        <v>156.19999999999999</v>
      </c>
      <c r="G97">
        <v>871.8</v>
      </c>
      <c r="H97" t="s">
        <v>13</v>
      </c>
      <c r="I97" t="s">
        <v>137</v>
      </c>
      <c r="J97">
        <f>VLOOKUP("pH",parametros!A:C,2,FALSE)</f>
        <v>6.5</v>
      </c>
      <c r="K97">
        <f>VLOOKUP("pH",parametros!A:C,3,FALSE)</f>
        <v>8.5</v>
      </c>
      <c r="L97" t="str" cm="1">
        <f t="array" ref="L97">IF(AND(Table1__2[[#This Row],[pH]]&gt;=Table1__2[pH_Min],Table1__2[[#This Row],[pH]]&lt;=Table1__2[pH_Max]),"OK","Out")</f>
        <v>OK</v>
      </c>
      <c r="M97" t="str">
        <f>IF(D97&lt;=VLOOKUP("Turbidez_NTU",parametros!A:C,3,FALSE),"OK","Out")</f>
        <v>OK</v>
      </c>
      <c r="N97" t="str">
        <f>IF(F96&lt;=VLOOKUP("Cloruros_mgL",parametros!A:C,3,FALSE),"OK","Out")</f>
        <v>OK</v>
      </c>
      <c r="O97" t="str">
        <f t="shared" si="4"/>
        <v>COMPLIES</v>
      </c>
      <c r="P97" t="str">
        <f t="shared" si="5"/>
        <v>Medium Risk</v>
      </c>
    </row>
    <row r="98" spans="1:16" x14ac:dyDescent="0.3">
      <c r="A98" s="1">
        <v>45754</v>
      </c>
      <c r="B98" t="s">
        <v>22</v>
      </c>
      <c r="C98">
        <v>6.61</v>
      </c>
      <c r="D98">
        <v>3.61</v>
      </c>
      <c r="E98">
        <v>266.10000000000002</v>
      </c>
      <c r="F98">
        <v>103.4</v>
      </c>
      <c r="G98">
        <v>783.6</v>
      </c>
      <c r="H98" t="s">
        <v>13</v>
      </c>
      <c r="I98" t="s">
        <v>137</v>
      </c>
      <c r="J98">
        <f>VLOOKUP("pH",parametros!A:C,2,FALSE)</f>
        <v>6.5</v>
      </c>
      <c r="K98">
        <f>VLOOKUP("pH",parametros!A:C,3,FALSE)</f>
        <v>8.5</v>
      </c>
      <c r="L98" t="str" cm="1">
        <f t="array" ref="L98">IF(AND(Table1__2[[#This Row],[pH]]&gt;=Table1__2[pH_Min],Table1__2[[#This Row],[pH]]&lt;=Table1__2[pH_Max]),"OK","Out")</f>
        <v>OK</v>
      </c>
      <c r="M98" t="str">
        <f>IF(D98&lt;=VLOOKUP("Turbidez_NTU",parametros!A:C,3,FALSE),"OK","Out")</f>
        <v>OK</v>
      </c>
      <c r="N98" t="str">
        <f>IF(F97&lt;=VLOOKUP("Cloruros_mgL",parametros!A:C,3,FALSE),"OK","Out")</f>
        <v>OK</v>
      </c>
      <c r="O98" t="str">
        <f t="shared" ref="O98:O122" si="6">IF(AND(L98="OK",M98="OK",N98="OK"),"COMPLIES","NON-COMPLIANT")</f>
        <v>COMPLIES</v>
      </c>
      <c r="P98" t="str">
        <f t="shared" ref="P98:P122" si="7">IF(H98="COMPLIES","Safe",IF(D98&gt;10,"Critical","Medium Risk"))</f>
        <v>Medium Risk</v>
      </c>
    </row>
    <row r="99" spans="1:16" x14ac:dyDescent="0.3">
      <c r="A99" s="1">
        <v>45755</v>
      </c>
      <c r="B99" t="s">
        <v>18</v>
      </c>
      <c r="C99">
        <v>6.55</v>
      </c>
      <c r="D99">
        <v>2.14</v>
      </c>
      <c r="E99">
        <v>140.19999999999999</v>
      </c>
      <c r="F99">
        <v>70.3</v>
      </c>
      <c r="G99">
        <v>904.2</v>
      </c>
      <c r="H99" t="s">
        <v>13</v>
      </c>
      <c r="I99" t="s">
        <v>137</v>
      </c>
      <c r="J99">
        <f>VLOOKUP("pH",parametros!A:C,2,FALSE)</f>
        <v>6.5</v>
      </c>
      <c r="K99">
        <f>VLOOKUP("pH",parametros!A:C,3,FALSE)</f>
        <v>8.5</v>
      </c>
      <c r="L99" t="str" cm="1">
        <f t="array" ref="L99">IF(AND(Table1__2[[#This Row],[pH]]&gt;=Table1__2[pH_Min],Table1__2[[#This Row],[pH]]&lt;=Table1__2[pH_Max]),"OK","Out")</f>
        <v>OK</v>
      </c>
      <c r="M99" t="str">
        <f>IF(D99&lt;=VLOOKUP("Turbidez_NTU",parametros!A:C,3,FALSE),"OK","Out")</f>
        <v>OK</v>
      </c>
      <c r="N99" t="str">
        <f>IF(F98&lt;=VLOOKUP("Cloruros_mgL",parametros!A:C,3,FALSE),"OK","Out")</f>
        <v>OK</v>
      </c>
      <c r="O99" t="str">
        <f t="shared" si="6"/>
        <v>COMPLIES</v>
      </c>
      <c r="P99" t="str">
        <f t="shared" si="7"/>
        <v>Medium Risk</v>
      </c>
    </row>
    <row r="100" spans="1:16" x14ac:dyDescent="0.3">
      <c r="A100" s="1">
        <v>45756</v>
      </c>
      <c r="B100" t="s">
        <v>22</v>
      </c>
      <c r="C100">
        <v>6.59</v>
      </c>
      <c r="D100">
        <v>2.71</v>
      </c>
      <c r="E100">
        <v>301.8</v>
      </c>
      <c r="F100">
        <v>73.5</v>
      </c>
      <c r="G100">
        <v>823.4</v>
      </c>
      <c r="H100" t="s">
        <v>13</v>
      </c>
      <c r="I100" t="s">
        <v>137</v>
      </c>
      <c r="J100">
        <f>VLOOKUP("pH",parametros!A:C,2,FALSE)</f>
        <v>6.5</v>
      </c>
      <c r="K100">
        <f>VLOOKUP("pH",parametros!A:C,3,FALSE)</f>
        <v>8.5</v>
      </c>
      <c r="L100" t="str" cm="1">
        <f t="array" ref="L100">IF(AND(Table1__2[[#This Row],[pH]]&gt;=Table1__2[pH_Min],Table1__2[[#This Row],[pH]]&lt;=Table1__2[pH_Max]),"OK","Out")</f>
        <v>OK</v>
      </c>
      <c r="M100" t="str">
        <f>IF(D100&lt;=VLOOKUP("Turbidez_NTU",parametros!A:C,3,FALSE),"OK","Out")</f>
        <v>OK</v>
      </c>
      <c r="N100" t="str">
        <f>IF(F99&lt;=VLOOKUP("Cloruros_mgL",parametros!A:C,3,FALSE),"OK","Out")</f>
        <v>OK</v>
      </c>
      <c r="O100" t="str">
        <f t="shared" si="6"/>
        <v>COMPLIES</v>
      </c>
      <c r="P100" t="str">
        <f t="shared" si="7"/>
        <v>Medium Risk</v>
      </c>
    </row>
    <row r="101" spans="1:16" x14ac:dyDescent="0.3">
      <c r="A101" s="1">
        <v>45757</v>
      </c>
      <c r="B101" t="s">
        <v>12</v>
      </c>
      <c r="C101">
        <v>8.2200000000000006</v>
      </c>
      <c r="D101">
        <v>5.44</v>
      </c>
      <c r="E101">
        <v>180.8</v>
      </c>
      <c r="F101">
        <v>274.2</v>
      </c>
      <c r="G101">
        <v>443.3</v>
      </c>
      <c r="H101" t="s">
        <v>10</v>
      </c>
      <c r="I101" t="s">
        <v>137</v>
      </c>
      <c r="J101">
        <f>VLOOKUP("pH",parametros!A:C,2,FALSE)</f>
        <v>6.5</v>
      </c>
      <c r="K101">
        <f>VLOOKUP("pH",parametros!A:C,3,FALSE)</f>
        <v>8.5</v>
      </c>
      <c r="L101" t="str" cm="1">
        <f t="array" ref="L101">IF(AND(Table1__2[[#This Row],[pH]]&gt;=Table1__2[pH_Min],Table1__2[[#This Row],[pH]]&lt;=Table1__2[pH_Max]),"OK","Out")</f>
        <v>OK</v>
      </c>
      <c r="M101" t="str">
        <f>IF(D101&lt;=VLOOKUP("Turbidez_NTU",parametros!A:C,3,FALSE),"OK","Out")</f>
        <v>Out</v>
      </c>
      <c r="N101" t="str">
        <f>IF(F100&lt;=VLOOKUP("Cloruros_mgL",parametros!A:C,3,FALSE),"OK","Out")</f>
        <v>OK</v>
      </c>
      <c r="O101" t="str">
        <f t="shared" si="6"/>
        <v>NON-COMPLIANT</v>
      </c>
      <c r="P101" t="str">
        <f t="shared" si="7"/>
        <v>Medium Risk</v>
      </c>
    </row>
    <row r="102" spans="1:16" x14ac:dyDescent="0.3">
      <c r="A102" s="1">
        <v>45758</v>
      </c>
      <c r="B102" t="s">
        <v>18</v>
      </c>
      <c r="C102">
        <v>8.6</v>
      </c>
      <c r="D102">
        <v>7.08</v>
      </c>
      <c r="E102">
        <v>225.4</v>
      </c>
      <c r="F102">
        <v>172.3</v>
      </c>
      <c r="G102">
        <v>242.3</v>
      </c>
      <c r="H102" t="s">
        <v>10</v>
      </c>
      <c r="I102" t="s">
        <v>137</v>
      </c>
      <c r="J102">
        <f>VLOOKUP("pH",parametros!A:C,2,FALSE)</f>
        <v>6.5</v>
      </c>
      <c r="K102">
        <f>VLOOKUP("pH",parametros!A:C,3,FALSE)</f>
        <v>8.5</v>
      </c>
      <c r="L102" t="str" cm="1">
        <f t="array" ref="L102">IF(AND(Table1__2[[#This Row],[pH]]&gt;=Table1__2[pH_Min],Table1__2[[#This Row],[pH]]&lt;=Table1__2[pH_Max]),"OK","Out")</f>
        <v>Out</v>
      </c>
      <c r="M102" t="str">
        <f>IF(D102&lt;=VLOOKUP("Turbidez_NTU",parametros!A:C,3,FALSE),"OK","Out")</f>
        <v>Out</v>
      </c>
      <c r="N102" t="str">
        <f>IF(F101&lt;=VLOOKUP("Cloruros_mgL",parametros!A:C,3,FALSE),"OK","Out")</f>
        <v>Out</v>
      </c>
      <c r="O102" t="str">
        <f t="shared" si="6"/>
        <v>NON-COMPLIANT</v>
      </c>
      <c r="P102" t="str">
        <f t="shared" si="7"/>
        <v>Medium Risk</v>
      </c>
    </row>
    <row r="103" spans="1:16" x14ac:dyDescent="0.3">
      <c r="A103" s="1">
        <v>45759</v>
      </c>
      <c r="B103" t="s">
        <v>9</v>
      </c>
      <c r="C103">
        <v>7.36</v>
      </c>
      <c r="D103">
        <v>10.130000000000001</v>
      </c>
      <c r="E103">
        <v>99.9</v>
      </c>
      <c r="F103">
        <v>195.7</v>
      </c>
      <c r="G103">
        <v>321.2</v>
      </c>
      <c r="H103" t="s">
        <v>10</v>
      </c>
      <c r="I103" t="s">
        <v>137</v>
      </c>
      <c r="J103">
        <f>VLOOKUP("pH",parametros!A:C,2,FALSE)</f>
        <v>6.5</v>
      </c>
      <c r="K103">
        <f>VLOOKUP("pH",parametros!A:C,3,FALSE)</f>
        <v>8.5</v>
      </c>
      <c r="L103" t="str" cm="1">
        <f t="array" ref="L103">IF(AND(Table1__2[[#This Row],[pH]]&gt;=Table1__2[pH_Min],Table1__2[[#This Row],[pH]]&lt;=Table1__2[pH_Max]),"OK","Out")</f>
        <v>OK</v>
      </c>
      <c r="M103" t="str">
        <f>IF(D103&lt;=VLOOKUP("Turbidez_NTU",parametros!A:C,3,FALSE),"OK","Out")</f>
        <v>Out</v>
      </c>
      <c r="N103" t="str">
        <f>IF(F102&lt;=VLOOKUP("Cloruros_mgL",parametros!A:C,3,FALSE),"OK","Out")</f>
        <v>OK</v>
      </c>
      <c r="O103" t="str">
        <f t="shared" si="6"/>
        <v>NON-COMPLIANT</v>
      </c>
      <c r="P103" t="str">
        <f t="shared" si="7"/>
        <v>Critical</v>
      </c>
    </row>
    <row r="104" spans="1:16" x14ac:dyDescent="0.3">
      <c r="A104" s="1">
        <v>45760</v>
      </c>
      <c r="B104" t="s">
        <v>12</v>
      </c>
      <c r="C104">
        <v>6.5</v>
      </c>
      <c r="D104">
        <v>3.03</v>
      </c>
      <c r="E104">
        <v>130.9</v>
      </c>
      <c r="F104">
        <v>110.7</v>
      </c>
      <c r="G104">
        <v>1144.5</v>
      </c>
      <c r="H104" t="s">
        <v>13</v>
      </c>
      <c r="I104" t="s">
        <v>137</v>
      </c>
      <c r="J104">
        <f>VLOOKUP("pH",parametros!A:C,2,FALSE)</f>
        <v>6.5</v>
      </c>
      <c r="K104">
        <f>VLOOKUP("pH",parametros!A:C,3,FALSE)</f>
        <v>8.5</v>
      </c>
      <c r="L104" t="str" cm="1">
        <f t="array" ref="L104">IF(AND(Table1__2[[#This Row],[pH]]&gt;=Table1__2[pH_Min],Table1__2[[#This Row],[pH]]&lt;=Table1__2[pH_Max]),"OK","Out")</f>
        <v>OK</v>
      </c>
      <c r="M104" t="str">
        <f>IF(D104&lt;=VLOOKUP("Turbidez_NTU",parametros!A:C,3,FALSE),"OK","Out")</f>
        <v>OK</v>
      </c>
      <c r="N104" t="str">
        <f>IF(F103&lt;=VLOOKUP("Cloruros_mgL",parametros!A:C,3,FALSE),"OK","Out")</f>
        <v>OK</v>
      </c>
      <c r="O104" t="str">
        <f t="shared" si="6"/>
        <v>COMPLIES</v>
      </c>
      <c r="P104" t="str">
        <f t="shared" si="7"/>
        <v>Medium Risk</v>
      </c>
    </row>
    <row r="105" spans="1:16" x14ac:dyDescent="0.3">
      <c r="A105" s="1">
        <v>45761</v>
      </c>
      <c r="B105" t="s">
        <v>18</v>
      </c>
      <c r="C105">
        <v>7.49</v>
      </c>
      <c r="D105">
        <v>7.9</v>
      </c>
      <c r="E105">
        <v>141.80000000000001</v>
      </c>
      <c r="F105">
        <v>43.3</v>
      </c>
      <c r="G105">
        <v>1085.9000000000001</v>
      </c>
      <c r="H105" t="s">
        <v>10</v>
      </c>
      <c r="I105" t="s">
        <v>137</v>
      </c>
      <c r="J105">
        <f>VLOOKUP("pH",parametros!A:C,2,FALSE)</f>
        <v>6.5</v>
      </c>
      <c r="K105">
        <f>VLOOKUP("pH",parametros!A:C,3,FALSE)</f>
        <v>8.5</v>
      </c>
      <c r="L105" t="str" cm="1">
        <f t="array" ref="L105">IF(AND(Table1__2[[#This Row],[pH]]&gt;=Table1__2[pH_Min],Table1__2[[#This Row],[pH]]&lt;=Table1__2[pH_Max]),"OK","Out")</f>
        <v>OK</v>
      </c>
      <c r="M105" t="str">
        <f>IF(D105&lt;=VLOOKUP("Turbidez_NTU",parametros!A:C,3,FALSE),"OK","Out")</f>
        <v>Out</v>
      </c>
      <c r="N105" t="str">
        <f>IF(F104&lt;=VLOOKUP("Cloruros_mgL",parametros!A:C,3,FALSE),"OK","Out")</f>
        <v>OK</v>
      </c>
      <c r="O105" t="str">
        <f t="shared" si="6"/>
        <v>NON-COMPLIANT</v>
      </c>
      <c r="P105" t="str">
        <f t="shared" si="7"/>
        <v>Medium Risk</v>
      </c>
    </row>
    <row r="106" spans="1:16" x14ac:dyDescent="0.3">
      <c r="A106" s="1">
        <v>45762</v>
      </c>
      <c r="B106" t="s">
        <v>9</v>
      </c>
      <c r="C106">
        <v>6.46</v>
      </c>
      <c r="D106">
        <v>4.1900000000000004</v>
      </c>
      <c r="E106">
        <v>147.9</v>
      </c>
      <c r="F106">
        <v>128.6</v>
      </c>
      <c r="G106">
        <v>1050.8</v>
      </c>
      <c r="H106" t="s">
        <v>10</v>
      </c>
      <c r="I106" t="s">
        <v>137</v>
      </c>
      <c r="J106">
        <f>VLOOKUP("pH",parametros!A:C,2,FALSE)</f>
        <v>6.5</v>
      </c>
      <c r="K106">
        <f>VLOOKUP("pH",parametros!A:C,3,FALSE)</f>
        <v>8.5</v>
      </c>
      <c r="L106" t="str" cm="1">
        <f t="array" ref="L106">IF(AND(Table1__2[[#This Row],[pH]]&gt;=Table1__2[pH_Min],Table1__2[[#This Row],[pH]]&lt;=Table1__2[pH_Max]),"OK","Out")</f>
        <v>Out</v>
      </c>
      <c r="M106" t="str">
        <f>IF(D106&lt;=VLOOKUP("Turbidez_NTU",parametros!A:C,3,FALSE),"OK","Out")</f>
        <v>OK</v>
      </c>
      <c r="N106" t="str">
        <f>IF(F105&lt;=VLOOKUP("Cloruros_mgL",parametros!A:C,3,FALSE),"OK","Out")</f>
        <v>OK</v>
      </c>
      <c r="O106" t="str">
        <f t="shared" si="6"/>
        <v>NON-COMPLIANT</v>
      </c>
      <c r="P106" t="str">
        <f t="shared" si="7"/>
        <v>Medium Risk</v>
      </c>
    </row>
    <row r="107" spans="1:16" x14ac:dyDescent="0.3">
      <c r="A107" s="1">
        <v>45763</v>
      </c>
      <c r="B107" t="s">
        <v>16</v>
      </c>
      <c r="C107">
        <v>8.2799999999999994</v>
      </c>
      <c r="D107">
        <v>1.3</v>
      </c>
      <c r="E107">
        <v>103.1</v>
      </c>
      <c r="F107">
        <v>22.4</v>
      </c>
      <c r="G107">
        <v>1097.4000000000001</v>
      </c>
      <c r="H107" t="s">
        <v>13</v>
      </c>
      <c r="I107" t="s">
        <v>137</v>
      </c>
      <c r="J107">
        <f>VLOOKUP("pH",parametros!A:C,2,FALSE)</f>
        <v>6.5</v>
      </c>
      <c r="K107">
        <f>VLOOKUP("pH",parametros!A:C,3,FALSE)</f>
        <v>8.5</v>
      </c>
      <c r="L107" t="str" cm="1">
        <f t="array" ref="L107">IF(AND(Table1__2[[#This Row],[pH]]&gt;=Table1__2[pH_Min],Table1__2[[#This Row],[pH]]&lt;=Table1__2[pH_Max]),"OK","Out")</f>
        <v>OK</v>
      </c>
      <c r="M107" t="str">
        <f>IF(D107&lt;=VLOOKUP("Turbidez_NTU",parametros!A:C,3,FALSE),"OK","Out")</f>
        <v>OK</v>
      </c>
      <c r="N107" t="str">
        <f>IF(F106&lt;=VLOOKUP("Cloruros_mgL",parametros!A:C,3,FALSE),"OK","Out")</f>
        <v>OK</v>
      </c>
      <c r="O107" t="str">
        <f t="shared" si="6"/>
        <v>COMPLIES</v>
      </c>
      <c r="P107" t="str">
        <f t="shared" si="7"/>
        <v>Medium Risk</v>
      </c>
    </row>
    <row r="108" spans="1:16" x14ac:dyDescent="0.3">
      <c r="A108" s="1">
        <v>45764</v>
      </c>
      <c r="B108" t="s">
        <v>18</v>
      </c>
      <c r="C108">
        <v>7.96</v>
      </c>
      <c r="D108">
        <v>3.97</v>
      </c>
      <c r="E108">
        <v>113.4</v>
      </c>
      <c r="F108">
        <v>213.7</v>
      </c>
      <c r="G108">
        <v>717.5</v>
      </c>
      <c r="H108" t="s">
        <v>13</v>
      </c>
      <c r="I108" t="s">
        <v>137</v>
      </c>
      <c r="J108">
        <f>VLOOKUP("pH",parametros!A:C,2,FALSE)</f>
        <v>6.5</v>
      </c>
      <c r="K108">
        <f>VLOOKUP("pH",parametros!A:C,3,FALSE)</f>
        <v>8.5</v>
      </c>
      <c r="L108" t="str" cm="1">
        <f t="array" ref="L108">IF(AND(Table1__2[[#This Row],[pH]]&gt;=Table1__2[pH_Min],Table1__2[[#This Row],[pH]]&lt;=Table1__2[pH_Max]),"OK","Out")</f>
        <v>OK</v>
      </c>
      <c r="M108" t="str">
        <f>IF(D108&lt;=VLOOKUP("Turbidez_NTU",parametros!A:C,3,FALSE),"OK","Out")</f>
        <v>OK</v>
      </c>
      <c r="N108" t="str">
        <f>IF(F107&lt;=VLOOKUP("Cloruros_mgL",parametros!A:C,3,FALSE),"OK","Out")</f>
        <v>OK</v>
      </c>
      <c r="O108" t="str">
        <f t="shared" si="6"/>
        <v>COMPLIES</v>
      </c>
      <c r="P108" t="str">
        <f t="shared" si="7"/>
        <v>Medium Risk</v>
      </c>
    </row>
    <row r="109" spans="1:16" x14ac:dyDescent="0.3">
      <c r="A109" s="1">
        <v>45765</v>
      </c>
      <c r="B109" t="s">
        <v>12</v>
      </c>
      <c r="C109">
        <v>6.23</v>
      </c>
      <c r="D109">
        <v>4.78</v>
      </c>
      <c r="E109">
        <v>172.5</v>
      </c>
      <c r="F109">
        <v>239.3</v>
      </c>
      <c r="G109">
        <v>291.5</v>
      </c>
      <c r="H109" t="s">
        <v>10</v>
      </c>
      <c r="I109" t="s">
        <v>137</v>
      </c>
      <c r="J109">
        <f>VLOOKUP("pH",parametros!A:C,2,FALSE)</f>
        <v>6.5</v>
      </c>
      <c r="K109">
        <f>VLOOKUP("pH",parametros!A:C,3,FALSE)</f>
        <v>8.5</v>
      </c>
      <c r="L109" t="str" cm="1">
        <f t="array" ref="L109">IF(AND(Table1__2[[#This Row],[pH]]&gt;=Table1__2[pH_Min],Table1__2[[#This Row],[pH]]&lt;=Table1__2[pH_Max]),"OK","Out")</f>
        <v>Out</v>
      </c>
      <c r="M109" t="str">
        <f>IF(D109&lt;=VLOOKUP("Turbidez_NTU",parametros!A:C,3,FALSE),"OK","Out")</f>
        <v>OK</v>
      </c>
      <c r="N109" t="str">
        <f>IF(F108&lt;=VLOOKUP("Cloruros_mgL",parametros!A:C,3,FALSE),"OK","Out")</f>
        <v>OK</v>
      </c>
      <c r="O109" t="str">
        <f t="shared" si="6"/>
        <v>NON-COMPLIANT</v>
      </c>
      <c r="P109" t="str">
        <f t="shared" si="7"/>
        <v>Medium Risk</v>
      </c>
    </row>
    <row r="110" spans="1:16" x14ac:dyDescent="0.3">
      <c r="A110" s="1">
        <v>45766</v>
      </c>
      <c r="B110" t="s">
        <v>18</v>
      </c>
      <c r="C110">
        <v>6.47</v>
      </c>
      <c r="D110">
        <v>7.02</v>
      </c>
      <c r="E110">
        <v>112.2</v>
      </c>
      <c r="F110">
        <v>224.8</v>
      </c>
      <c r="G110">
        <v>902.9</v>
      </c>
      <c r="H110" t="s">
        <v>10</v>
      </c>
      <c r="I110" t="s">
        <v>137</v>
      </c>
      <c r="J110">
        <f>VLOOKUP("pH",parametros!A:C,2,FALSE)</f>
        <v>6.5</v>
      </c>
      <c r="K110">
        <f>VLOOKUP("pH",parametros!A:C,3,FALSE)</f>
        <v>8.5</v>
      </c>
      <c r="L110" t="str" cm="1">
        <f t="array" ref="L110">IF(AND(Table1__2[[#This Row],[pH]]&gt;=Table1__2[pH_Min],Table1__2[[#This Row],[pH]]&lt;=Table1__2[pH_Max]),"OK","Out")</f>
        <v>Out</v>
      </c>
      <c r="M110" t="str">
        <f>IF(D110&lt;=VLOOKUP("Turbidez_NTU",parametros!A:C,3,FALSE),"OK","Out")</f>
        <v>Out</v>
      </c>
      <c r="N110" t="str">
        <f>IF(F109&lt;=VLOOKUP("Cloruros_mgL",parametros!A:C,3,FALSE),"OK","Out")</f>
        <v>OK</v>
      </c>
      <c r="O110" t="str">
        <f t="shared" si="6"/>
        <v>NON-COMPLIANT</v>
      </c>
      <c r="P110" t="str">
        <f t="shared" si="7"/>
        <v>Medium Risk</v>
      </c>
    </row>
    <row r="111" spans="1:16" x14ac:dyDescent="0.3">
      <c r="A111" s="1">
        <v>45767</v>
      </c>
      <c r="B111" t="s">
        <v>9</v>
      </c>
      <c r="C111">
        <v>7.15</v>
      </c>
      <c r="D111">
        <v>3.88</v>
      </c>
      <c r="E111">
        <v>102.8</v>
      </c>
      <c r="F111">
        <v>60.7</v>
      </c>
      <c r="G111">
        <v>1090.7</v>
      </c>
      <c r="H111" t="s">
        <v>13</v>
      </c>
      <c r="I111" t="s">
        <v>137</v>
      </c>
      <c r="J111">
        <f>VLOOKUP("pH",parametros!A:C,2,FALSE)</f>
        <v>6.5</v>
      </c>
      <c r="K111">
        <f>VLOOKUP("pH",parametros!A:C,3,FALSE)</f>
        <v>8.5</v>
      </c>
      <c r="L111" t="str" cm="1">
        <f t="array" ref="L111">IF(AND(Table1__2[[#This Row],[pH]]&gt;=Table1__2[pH_Min],Table1__2[[#This Row],[pH]]&lt;=Table1__2[pH_Max]),"OK","Out")</f>
        <v>OK</v>
      </c>
      <c r="M111" t="str">
        <f>IF(D111&lt;=VLOOKUP("Turbidez_NTU",parametros!A:C,3,FALSE),"OK","Out")</f>
        <v>OK</v>
      </c>
      <c r="N111" t="str">
        <f>IF(F110&lt;=VLOOKUP("Cloruros_mgL",parametros!A:C,3,FALSE),"OK","Out")</f>
        <v>OK</v>
      </c>
      <c r="O111" t="str">
        <f t="shared" si="6"/>
        <v>COMPLIES</v>
      </c>
      <c r="P111" t="str">
        <f t="shared" si="7"/>
        <v>Medium Risk</v>
      </c>
    </row>
    <row r="112" spans="1:16" x14ac:dyDescent="0.3">
      <c r="A112" s="1">
        <v>45768</v>
      </c>
      <c r="B112" t="s">
        <v>22</v>
      </c>
      <c r="C112">
        <v>8.48</v>
      </c>
      <c r="D112">
        <v>11.59</v>
      </c>
      <c r="E112">
        <v>113</v>
      </c>
      <c r="F112">
        <v>55</v>
      </c>
      <c r="G112">
        <v>172.3</v>
      </c>
      <c r="H112" t="s">
        <v>10</v>
      </c>
      <c r="I112" t="s">
        <v>137</v>
      </c>
      <c r="J112">
        <f>VLOOKUP("pH",parametros!A:C,2,FALSE)</f>
        <v>6.5</v>
      </c>
      <c r="K112">
        <f>VLOOKUP("pH",parametros!A:C,3,FALSE)</f>
        <v>8.5</v>
      </c>
      <c r="L112" t="str" cm="1">
        <f t="array" ref="L112">IF(AND(Table1__2[[#This Row],[pH]]&gt;=Table1__2[pH_Min],Table1__2[[#This Row],[pH]]&lt;=Table1__2[pH_Max]),"OK","Out")</f>
        <v>OK</v>
      </c>
      <c r="M112" t="str">
        <f>IF(D112&lt;=VLOOKUP("Turbidez_NTU",parametros!A:C,3,FALSE),"OK","Out")</f>
        <v>Out</v>
      </c>
      <c r="N112" t="str">
        <f>IF(F111&lt;=VLOOKUP("Cloruros_mgL",parametros!A:C,3,FALSE),"OK","Out")</f>
        <v>OK</v>
      </c>
      <c r="O112" t="str">
        <f t="shared" si="6"/>
        <v>NON-COMPLIANT</v>
      </c>
      <c r="P112" t="str">
        <f t="shared" si="7"/>
        <v>Critical</v>
      </c>
    </row>
    <row r="113" spans="1:16" x14ac:dyDescent="0.3">
      <c r="A113" s="1">
        <v>45769</v>
      </c>
      <c r="B113" t="s">
        <v>9</v>
      </c>
      <c r="C113">
        <v>8.0399999999999991</v>
      </c>
      <c r="D113">
        <v>6.76</v>
      </c>
      <c r="E113">
        <v>309.60000000000002</v>
      </c>
      <c r="F113">
        <v>241.7</v>
      </c>
      <c r="G113">
        <v>774.3</v>
      </c>
      <c r="H113" t="s">
        <v>10</v>
      </c>
      <c r="I113" t="s">
        <v>137</v>
      </c>
      <c r="J113">
        <f>VLOOKUP("pH",parametros!A:C,2,FALSE)</f>
        <v>6.5</v>
      </c>
      <c r="K113">
        <f>VLOOKUP("pH",parametros!A:C,3,FALSE)</f>
        <v>8.5</v>
      </c>
      <c r="L113" t="str" cm="1">
        <f t="array" ref="L113">IF(AND(Table1__2[[#This Row],[pH]]&gt;=Table1__2[pH_Min],Table1__2[[#This Row],[pH]]&lt;=Table1__2[pH_Max]),"OK","Out")</f>
        <v>OK</v>
      </c>
      <c r="M113" t="str">
        <f>IF(D113&lt;=VLOOKUP("Turbidez_NTU",parametros!A:C,3,FALSE),"OK","Out")</f>
        <v>Out</v>
      </c>
      <c r="N113" t="str">
        <f>IF(F112&lt;=VLOOKUP("Cloruros_mgL",parametros!A:C,3,FALSE),"OK","Out")</f>
        <v>OK</v>
      </c>
      <c r="O113" t="str">
        <f t="shared" si="6"/>
        <v>NON-COMPLIANT</v>
      </c>
      <c r="P113" t="str">
        <f t="shared" si="7"/>
        <v>Medium Risk</v>
      </c>
    </row>
    <row r="114" spans="1:16" x14ac:dyDescent="0.3">
      <c r="A114" s="1">
        <v>45770</v>
      </c>
      <c r="B114" t="s">
        <v>18</v>
      </c>
      <c r="C114">
        <v>8.17</v>
      </c>
      <c r="D114">
        <v>0.78</v>
      </c>
      <c r="E114">
        <v>183.7</v>
      </c>
      <c r="F114">
        <v>275.10000000000002</v>
      </c>
      <c r="G114">
        <v>918.9</v>
      </c>
      <c r="H114" t="s">
        <v>10</v>
      </c>
      <c r="I114" t="s">
        <v>137</v>
      </c>
      <c r="J114">
        <f>VLOOKUP("pH",parametros!A:C,2,FALSE)</f>
        <v>6.5</v>
      </c>
      <c r="K114">
        <f>VLOOKUP("pH",parametros!A:C,3,FALSE)</f>
        <v>8.5</v>
      </c>
      <c r="L114" t="str" cm="1">
        <f t="array" ref="L114">IF(AND(Table1__2[[#This Row],[pH]]&gt;=Table1__2[pH_Min],Table1__2[[#This Row],[pH]]&lt;=Table1__2[pH_Max]),"OK","Out")</f>
        <v>OK</v>
      </c>
      <c r="M114" t="str">
        <f>IF(D114&lt;=VLOOKUP("Turbidez_NTU",parametros!A:C,3,FALSE),"OK","Out")</f>
        <v>OK</v>
      </c>
      <c r="N114" t="str">
        <f>IF(F113&lt;=VLOOKUP("Cloruros_mgL",parametros!A:C,3,FALSE),"OK","Out")</f>
        <v>OK</v>
      </c>
      <c r="O114" t="str">
        <f t="shared" si="6"/>
        <v>COMPLIES</v>
      </c>
      <c r="P114" t="str">
        <f t="shared" si="7"/>
        <v>Medium Risk</v>
      </c>
    </row>
    <row r="115" spans="1:16" x14ac:dyDescent="0.3">
      <c r="A115" s="1">
        <v>45771</v>
      </c>
      <c r="B115" t="s">
        <v>12</v>
      </c>
      <c r="C115">
        <v>8.69</v>
      </c>
      <c r="D115">
        <v>7.45</v>
      </c>
      <c r="E115">
        <v>193.6</v>
      </c>
      <c r="F115">
        <v>32.700000000000003</v>
      </c>
      <c r="G115">
        <v>577.1</v>
      </c>
      <c r="H115" t="s">
        <v>10</v>
      </c>
      <c r="I115" t="s">
        <v>137</v>
      </c>
      <c r="J115">
        <f>VLOOKUP("pH",parametros!A:C,2,FALSE)</f>
        <v>6.5</v>
      </c>
      <c r="K115">
        <f>VLOOKUP("pH",parametros!A:C,3,FALSE)</f>
        <v>8.5</v>
      </c>
      <c r="L115" t="str" cm="1">
        <f t="array" ref="L115">IF(AND(Table1__2[[#This Row],[pH]]&gt;=Table1__2[pH_Min],Table1__2[[#This Row],[pH]]&lt;=Table1__2[pH_Max]),"OK","Out")</f>
        <v>Out</v>
      </c>
      <c r="M115" t="str">
        <f>IF(D115&lt;=VLOOKUP("Turbidez_NTU",parametros!A:C,3,FALSE),"OK","Out")</f>
        <v>Out</v>
      </c>
      <c r="N115" t="str">
        <f>IF(F114&lt;=VLOOKUP("Cloruros_mgL",parametros!A:C,3,FALSE),"OK","Out")</f>
        <v>Out</v>
      </c>
      <c r="O115" t="str">
        <f t="shared" si="6"/>
        <v>NON-COMPLIANT</v>
      </c>
      <c r="P115" t="str">
        <f t="shared" si="7"/>
        <v>Medium Risk</v>
      </c>
    </row>
    <row r="116" spans="1:16" x14ac:dyDescent="0.3">
      <c r="A116" s="1">
        <v>45772</v>
      </c>
      <c r="B116" t="s">
        <v>22</v>
      </c>
      <c r="C116">
        <v>6.22</v>
      </c>
      <c r="D116">
        <v>10.51</v>
      </c>
      <c r="E116">
        <v>268.89999999999998</v>
      </c>
      <c r="F116">
        <v>216</v>
      </c>
      <c r="G116">
        <v>829.4</v>
      </c>
      <c r="H116" t="s">
        <v>10</v>
      </c>
      <c r="I116" t="s">
        <v>137</v>
      </c>
      <c r="J116">
        <f>VLOOKUP("pH",parametros!A:C,2,FALSE)</f>
        <v>6.5</v>
      </c>
      <c r="K116">
        <f>VLOOKUP("pH",parametros!A:C,3,FALSE)</f>
        <v>8.5</v>
      </c>
      <c r="L116" t="str" cm="1">
        <f t="array" ref="L116">IF(AND(Table1__2[[#This Row],[pH]]&gt;=Table1__2[pH_Min],Table1__2[[#This Row],[pH]]&lt;=Table1__2[pH_Max]),"OK","Out")</f>
        <v>Out</v>
      </c>
      <c r="M116" t="str">
        <f>IF(D116&lt;=VLOOKUP("Turbidez_NTU",parametros!A:C,3,FALSE),"OK","Out")</f>
        <v>Out</v>
      </c>
      <c r="N116" t="str">
        <f>IF(F115&lt;=VLOOKUP("Cloruros_mgL",parametros!A:C,3,FALSE),"OK","Out")</f>
        <v>OK</v>
      </c>
      <c r="O116" t="str">
        <f t="shared" si="6"/>
        <v>NON-COMPLIANT</v>
      </c>
      <c r="P116" t="str">
        <f t="shared" si="7"/>
        <v>Critical</v>
      </c>
    </row>
    <row r="117" spans="1:16" x14ac:dyDescent="0.3">
      <c r="A117" s="1">
        <v>45773</v>
      </c>
      <c r="B117" t="s">
        <v>9</v>
      </c>
      <c r="C117">
        <v>7.61</v>
      </c>
      <c r="D117">
        <v>5.27</v>
      </c>
      <c r="E117">
        <v>311.10000000000002</v>
      </c>
      <c r="F117">
        <v>228.7</v>
      </c>
      <c r="G117">
        <v>159.80000000000001</v>
      </c>
      <c r="H117" t="s">
        <v>10</v>
      </c>
      <c r="I117" t="s">
        <v>137</v>
      </c>
      <c r="J117">
        <f>VLOOKUP("pH",parametros!A:C,2,FALSE)</f>
        <v>6.5</v>
      </c>
      <c r="K117">
        <f>VLOOKUP("pH",parametros!A:C,3,FALSE)</f>
        <v>8.5</v>
      </c>
      <c r="L117" t="str" cm="1">
        <f t="array" ref="L117">IF(AND(Table1__2[[#This Row],[pH]]&gt;=Table1__2[pH_Min],Table1__2[[#This Row],[pH]]&lt;=Table1__2[pH_Max]),"OK","Out")</f>
        <v>OK</v>
      </c>
      <c r="M117" t="str">
        <f>IF(D117&lt;=VLOOKUP("Turbidez_NTU",parametros!A:C,3,FALSE),"OK","Out")</f>
        <v>Out</v>
      </c>
      <c r="N117" t="str">
        <f>IF(F116&lt;=VLOOKUP("Cloruros_mgL",parametros!A:C,3,FALSE),"OK","Out")</f>
        <v>OK</v>
      </c>
      <c r="O117" t="str">
        <f t="shared" si="6"/>
        <v>NON-COMPLIANT</v>
      </c>
      <c r="P117" t="str">
        <f t="shared" si="7"/>
        <v>Medium Risk</v>
      </c>
    </row>
    <row r="118" spans="1:16" x14ac:dyDescent="0.3">
      <c r="A118" s="1">
        <v>45774</v>
      </c>
      <c r="B118" t="s">
        <v>18</v>
      </c>
      <c r="C118">
        <v>7.1</v>
      </c>
      <c r="D118">
        <v>1.78</v>
      </c>
      <c r="E118">
        <v>294.3</v>
      </c>
      <c r="F118">
        <v>74.8</v>
      </c>
      <c r="G118">
        <v>932.2</v>
      </c>
      <c r="H118" t="s">
        <v>13</v>
      </c>
      <c r="I118" t="s">
        <v>137</v>
      </c>
      <c r="J118">
        <f>VLOOKUP("pH",parametros!A:C,2,FALSE)</f>
        <v>6.5</v>
      </c>
      <c r="K118">
        <f>VLOOKUP("pH",parametros!A:C,3,FALSE)</f>
        <v>8.5</v>
      </c>
      <c r="L118" t="str" cm="1">
        <f t="array" ref="L118">IF(AND(Table1__2[[#This Row],[pH]]&gt;=Table1__2[pH_Min],Table1__2[[#This Row],[pH]]&lt;=Table1__2[pH_Max]),"OK","Out")</f>
        <v>OK</v>
      </c>
      <c r="M118" t="str">
        <f>IF(D118&lt;=VLOOKUP("Turbidez_NTU",parametros!A:C,3,FALSE),"OK","Out")</f>
        <v>OK</v>
      </c>
      <c r="N118" t="str">
        <f>IF(F117&lt;=VLOOKUP("Cloruros_mgL",parametros!A:C,3,FALSE),"OK","Out")</f>
        <v>OK</v>
      </c>
      <c r="O118" t="str">
        <f t="shared" si="6"/>
        <v>COMPLIES</v>
      </c>
      <c r="P118" t="str">
        <f t="shared" si="7"/>
        <v>Medium Risk</v>
      </c>
    </row>
    <row r="119" spans="1:16" x14ac:dyDescent="0.3">
      <c r="A119" s="1">
        <v>45775</v>
      </c>
      <c r="B119" t="s">
        <v>16</v>
      </c>
      <c r="C119">
        <v>7.89</v>
      </c>
      <c r="D119">
        <v>4.9800000000000004</v>
      </c>
      <c r="E119">
        <v>203.6</v>
      </c>
      <c r="F119">
        <v>171.3</v>
      </c>
      <c r="G119">
        <v>254.2</v>
      </c>
      <c r="H119" t="s">
        <v>13</v>
      </c>
      <c r="I119" t="s">
        <v>137</v>
      </c>
      <c r="J119">
        <f>VLOOKUP("pH",parametros!A:C,2,FALSE)</f>
        <v>6.5</v>
      </c>
      <c r="K119">
        <f>VLOOKUP("pH",parametros!A:C,3,FALSE)</f>
        <v>8.5</v>
      </c>
      <c r="L119" t="str" cm="1">
        <f t="array" ref="L119">IF(AND(Table1__2[[#This Row],[pH]]&gt;=Table1__2[pH_Min],Table1__2[[#This Row],[pH]]&lt;=Table1__2[pH_Max]),"OK","Out")</f>
        <v>OK</v>
      </c>
      <c r="M119" t="str">
        <f>IF(D119&lt;=VLOOKUP("Turbidez_NTU",parametros!A:C,3,FALSE),"OK","Out")</f>
        <v>OK</v>
      </c>
      <c r="N119" t="str">
        <f>IF(F118&lt;=VLOOKUP("Cloruros_mgL",parametros!A:C,3,FALSE),"OK","Out")</f>
        <v>OK</v>
      </c>
      <c r="O119" t="str">
        <f t="shared" si="6"/>
        <v>COMPLIES</v>
      </c>
      <c r="P119" t="str">
        <f t="shared" si="7"/>
        <v>Medium Risk</v>
      </c>
    </row>
    <row r="120" spans="1:16" x14ac:dyDescent="0.3">
      <c r="A120" s="1">
        <v>45776</v>
      </c>
      <c r="B120" t="s">
        <v>28</v>
      </c>
      <c r="C120">
        <v>7.43</v>
      </c>
      <c r="D120">
        <v>11.9</v>
      </c>
      <c r="E120">
        <v>140</v>
      </c>
      <c r="F120">
        <v>216.9</v>
      </c>
      <c r="G120">
        <v>692.9</v>
      </c>
      <c r="H120" t="s">
        <v>10</v>
      </c>
      <c r="I120" t="s">
        <v>137</v>
      </c>
      <c r="J120">
        <f>VLOOKUP("pH",parametros!A:C,2,FALSE)</f>
        <v>6.5</v>
      </c>
      <c r="K120">
        <f>VLOOKUP("pH",parametros!A:C,3,FALSE)</f>
        <v>8.5</v>
      </c>
      <c r="L120" t="str" cm="1">
        <f t="array" ref="L120">IF(AND(Table1__2[[#This Row],[pH]]&gt;=Table1__2[pH_Min],Table1__2[[#This Row],[pH]]&lt;=Table1__2[pH_Max]),"OK","Out")</f>
        <v>OK</v>
      </c>
      <c r="M120" t="str">
        <f>IF(D120&lt;=VLOOKUP("Turbidez_NTU",parametros!A:C,3,FALSE),"OK","Out")</f>
        <v>Out</v>
      </c>
      <c r="N120" t="str">
        <f>IF(F119&lt;=VLOOKUP("Cloruros_mgL",parametros!A:C,3,FALSE),"OK","Out")</f>
        <v>OK</v>
      </c>
      <c r="O120" t="str">
        <f t="shared" si="6"/>
        <v>NON-COMPLIANT</v>
      </c>
      <c r="P120" t="str">
        <f t="shared" si="7"/>
        <v>Critical</v>
      </c>
    </row>
    <row r="121" spans="1:16" x14ac:dyDescent="0.3">
      <c r="A121" s="1">
        <v>45777</v>
      </c>
      <c r="B121" t="s">
        <v>18</v>
      </c>
      <c r="C121">
        <v>8.67</v>
      </c>
      <c r="D121">
        <v>2.23</v>
      </c>
      <c r="E121">
        <v>230.3</v>
      </c>
      <c r="F121">
        <v>266.8</v>
      </c>
      <c r="G121">
        <v>218</v>
      </c>
      <c r="H121" t="s">
        <v>10</v>
      </c>
      <c r="I121" t="s">
        <v>137</v>
      </c>
      <c r="J121">
        <f>VLOOKUP("pH",parametros!A:C,2,FALSE)</f>
        <v>6.5</v>
      </c>
      <c r="K121">
        <f>VLOOKUP("pH",parametros!A:C,3,FALSE)</f>
        <v>8.5</v>
      </c>
      <c r="L121" t="str" cm="1">
        <f t="array" ref="L121">IF(AND(Table1__2[[#This Row],[pH]]&gt;=Table1__2[pH_Min],Table1__2[[#This Row],[pH]]&lt;=Table1__2[pH_Max]),"OK","Out")</f>
        <v>Out</v>
      </c>
      <c r="M121" t="str">
        <f>IF(D121&lt;=VLOOKUP("Turbidez_NTU",parametros!A:C,3,FALSE),"OK","Out")</f>
        <v>OK</v>
      </c>
      <c r="N121" t="str">
        <f>IF(F120&lt;=VLOOKUP("Cloruros_mgL",parametros!A:C,3,FALSE),"OK","Out")</f>
        <v>OK</v>
      </c>
      <c r="O121" t="str">
        <f t="shared" si="6"/>
        <v>NON-COMPLIANT</v>
      </c>
      <c r="P121" t="str">
        <f t="shared" si="7"/>
        <v>Medium Risk</v>
      </c>
    </row>
    <row r="122" spans="1:16" x14ac:dyDescent="0.3">
      <c r="A122" s="1"/>
      <c r="J122">
        <f>VLOOKUP("pH",parametros!A:C,2,FALSE)</f>
        <v>6.5</v>
      </c>
      <c r="K122">
        <f>VLOOKUP("pH",parametros!A:C,3,FALSE)</f>
        <v>8.5</v>
      </c>
      <c r="L122" t="str" cm="1">
        <f t="array" ref="L122">IF(AND(Table1__2[[#This Row],[pH]]&gt;=Table1__2[pH_Min],Table1__2[[#This Row],[pH]]&lt;=Table1__2[pH_Max]),"OK","Out")</f>
        <v>Out</v>
      </c>
      <c r="M122" t="str">
        <f>IF(D122&lt;=VLOOKUP("Turbidez_NTU",parametros!A:C,3,FALSE),"OK","Out")</f>
        <v>OK</v>
      </c>
      <c r="N122" t="str">
        <f>IF(F121&lt;=VLOOKUP("Cloruros_mgL",parametros!A:C,3,FALSE),"OK","Out")</f>
        <v>Out</v>
      </c>
      <c r="O122" t="str">
        <f t="shared" si="6"/>
        <v>NON-COMPLIANT</v>
      </c>
      <c r="P122" t="str">
        <f t="shared" si="7"/>
        <v>Medium Risk</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C47D9-F1DE-4772-ADE7-BCF4E9C0DBC6}">
  <dimension ref="A1:R56"/>
  <sheetViews>
    <sheetView tabSelected="1" topLeftCell="A24" zoomScale="72" zoomScaleNormal="72" workbookViewId="0">
      <selection activeCell="I48" sqref="I48"/>
    </sheetView>
  </sheetViews>
  <sheetFormatPr defaultRowHeight="14.4" x14ac:dyDescent="0.3"/>
  <cols>
    <col min="1" max="1" width="13.88671875" bestFit="1" customWidth="1"/>
    <col min="2" max="2" width="20.77734375" bestFit="1" customWidth="1"/>
    <col min="3" max="3" width="34" bestFit="1" customWidth="1"/>
    <col min="4" max="4" width="19.21875" bestFit="1" customWidth="1"/>
    <col min="5" max="5" width="22.33203125" bestFit="1" customWidth="1"/>
    <col min="6" max="6" width="41.21875" bestFit="1" customWidth="1"/>
    <col min="7" max="7" width="12.77734375" bestFit="1" customWidth="1"/>
    <col min="8" max="8" width="27.77734375" customWidth="1"/>
    <col min="9" max="9" width="25.44140625" customWidth="1"/>
    <col min="10" max="10" width="52.6640625" customWidth="1"/>
    <col min="11" max="11" width="16.77734375" bestFit="1" customWidth="1"/>
    <col min="12" max="12" width="23.5546875" bestFit="1" customWidth="1"/>
    <col min="13" max="13" width="16.88671875" bestFit="1" customWidth="1"/>
    <col min="14" max="14" width="17.88671875" bestFit="1" customWidth="1"/>
  </cols>
  <sheetData>
    <row r="1" spans="1:18" ht="36.6" x14ac:dyDescent="0.7">
      <c r="A1" s="35" t="s">
        <v>162</v>
      </c>
      <c r="B1" s="35"/>
      <c r="C1" s="35"/>
      <c r="D1" s="35"/>
      <c r="E1" s="35"/>
      <c r="F1" s="35"/>
      <c r="G1" s="35"/>
      <c r="H1" s="35"/>
      <c r="I1" s="35"/>
      <c r="J1" s="35"/>
      <c r="K1" s="35"/>
      <c r="L1" s="35"/>
      <c r="M1" s="35"/>
      <c r="N1" s="35"/>
      <c r="O1" s="35"/>
      <c r="P1" s="35"/>
      <c r="Q1" s="35"/>
      <c r="R1" s="12"/>
    </row>
    <row r="2" spans="1:18" ht="14.4" customHeight="1" x14ac:dyDescent="0.6">
      <c r="A2" s="31" t="s">
        <v>163</v>
      </c>
      <c r="B2" s="31"/>
      <c r="C2" s="31"/>
      <c r="D2" s="31"/>
      <c r="E2" s="31"/>
      <c r="F2" s="31" t="s">
        <v>164</v>
      </c>
      <c r="G2" s="31"/>
      <c r="H2" s="31"/>
      <c r="I2" s="31"/>
      <c r="J2" s="31"/>
      <c r="K2" s="31" t="s">
        <v>165</v>
      </c>
      <c r="L2" s="31"/>
      <c r="M2" s="31"/>
      <c r="N2" s="31"/>
      <c r="O2" s="31"/>
      <c r="P2" s="31"/>
      <c r="Q2" s="8"/>
      <c r="R2" s="13"/>
    </row>
    <row r="3" spans="1:18" ht="14.4" customHeight="1" x14ac:dyDescent="0.6">
      <c r="A3" s="31"/>
      <c r="B3" s="31"/>
      <c r="C3" s="31"/>
      <c r="D3" s="31"/>
      <c r="E3" s="31"/>
      <c r="F3" s="31"/>
      <c r="G3" s="31"/>
      <c r="H3" s="31"/>
      <c r="I3" s="31"/>
      <c r="J3" s="31"/>
      <c r="K3" s="31"/>
      <c r="L3" s="31"/>
      <c r="M3" s="31"/>
      <c r="N3" s="31"/>
      <c r="O3" s="31"/>
      <c r="P3" s="31"/>
      <c r="Q3" s="8"/>
      <c r="R3" s="13"/>
    </row>
    <row r="4" spans="1:18" ht="14.4" customHeight="1" x14ac:dyDescent="0.6">
      <c r="A4" s="31"/>
      <c r="B4" s="31"/>
      <c r="C4" s="31"/>
      <c r="D4" s="31"/>
      <c r="E4" s="31"/>
      <c r="F4" s="31"/>
      <c r="G4" s="31"/>
      <c r="H4" s="31"/>
      <c r="I4" s="31"/>
      <c r="J4" s="31"/>
      <c r="K4" s="31"/>
      <c r="L4" s="31"/>
      <c r="M4" s="31"/>
      <c r="N4" s="31"/>
      <c r="O4" s="31"/>
      <c r="P4" s="31"/>
      <c r="Q4" s="8"/>
      <c r="R4" s="13"/>
    </row>
    <row r="5" spans="1:18" ht="14.4" customHeight="1" x14ac:dyDescent="0.6">
      <c r="A5" s="31"/>
      <c r="B5" s="31"/>
      <c r="C5" s="31"/>
      <c r="D5" s="31"/>
      <c r="E5" s="31"/>
      <c r="F5" s="8"/>
      <c r="G5" s="8"/>
      <c r="H5" s="8"/>
      <c r="I5" s="8"/>
      <c r="J5" s="8"/>
      <c r="K5" s="31"/>
      <c r="L5" s="31"/>
      <c r="M5" s="31"/>
      <c r="N5" s="31"/>
      <c r="O5" s="31"/>
      <c r="P5" s="31"/>
      <c r="Q5" s="8"/>
      <c r="R5" s="12"/>
    </row>
    <row r="6" spans="1:18" ht="23.4" customHeight="1" x14ac:dyDescent="1.05">
      <c r="A6" s="6"/>
      <c r="B6" s="34">
        <f>COUNTIF('LIMPIEZA DE DATOS'!O2:O121,"COMPLIES")/COUNTA('LIMPIEZA DE DATOS'!O2:O121)</f>
        <v>0.31666666666666665</v>
      </c>
      <c r="C6" s="34"/>
      <c r="D6" s="34"/>
      <c r="E6" s="34"/>
      <c r="F6" s="6"/>
      <c r="G6" s="7"/>
      <c r="H6" s="9" t="s">
        <v>1</v>
      </c>
      <c r="I6" s="9" t="s">
        <v>159</v>
      </c>
      <c r="J6" s="33"/>
      <c r="K6" s="8"/>
      <c r="L6" s="8"/>
      <c r="M6" s="8"/>
      <c r="N6" s="8"/>
      <c r="O6" s="8"/>
      <c r="P6" s="8"/>
      <c r="Q6" s="8"/>
      <c r="R6" s="12"/>
    </row>
    <row r="7" spans="1:18" ht="33.6" customHeight="1" x14ac:dyDescent="1.05">
      <c r="A7" s="6"/>
      <c r="B7" s="34"/>
      <c r="C7" s="34"/>
      <c r="D7" s="34"/>
      <c r="E7" s="34"/>
      <c r="F7" s="6"/>
      <c r="G7" s="7"/>
      <c r="H7" s="11" t="s">
        <v>22</v>
      </c>
      <c r="I7" s="10">
        <v>5</v>
      </c>
      <c r="J7" s="33"/>
      <c r="K7" s="8"/>
      <c r="L7" s="8"/>
      <c r="M7" s="8"/>
      <c r="N7" s="8"/>
      <c r="O7" s="6"/>
      <c r="P7" s="6"/>
      <c r="Q7" s="6"/>
      <c r="R7" s="12"/>
    </row>
    <row r="8" spans="1:18" ht="7.8" customHeight="1" x14ac:dyDescent="1.05">
      <c r="A8" s="6"/>
      <c r="B8" s="34"/>
      <c r="C8" s="34"/>
      <c r="D8" s="34"/>
      <c r="E8" s="34"/>
      <c r="F8" s="6"/>
      <c r="G8" s="7"/>
      <c r="H8" s="8"/>
      <c r="I8" s="8"/>
      <c r="J8" s="33"/>
      <c r="K8" s="8"/>
      <c r="L8" s="8"/>
      <c r="M8" s="8"/>
      <c r="N8" s="8"/>
      <c r="O8" s="6"/>
      <c r="P8" s="6"/>
      <c r="Q8" s="6"/>
      <c r="R8" s="12"/>
    </row>
    <row r="9" spans="1:18" ht="60.6" x14ac:dyDescent="1.05">
      <c r="A9" s="7"/>
      <c r="B9" s="6"/>
      <c r="C9" s="6"/>
      <c r="D9" s="6"/>
      <c r="E9" s="6"/>
      <c r="F9" s="6"/>
      <c r="G9" s="7"/>
      <c r="H9" s="6"/>
      <c r="I9" s="6"/>
      <c r="J9" s="6"/>
      <c r="K9" s="6"/>
      <c r="L9" s="6"/>
      <c r="M9" s="6"/>
      <c r="N9" s="6"/>
      <c r="O9" s="6"/>
      <c r="P9" s="6"/>
      <c r="Q9" s="6"/>
      <c r="R9" s="12"/>
    </row>
    <row r="10" spans="1:18" ht="18" x14ac:dyDescent="0.35">
      <c r="A10" s="6"/>
      <c r="B10" s="6"/>
      <c r="C10" s="6"/>
      <c r="D10" s="6"/>
      <c r="E10" s="14" t="s">
        <v>147</v>
      </c>
      <c r="F10" s="15" t="s">
        <v>150</v>
      </c>
      <c r="G10" s="6"/>
      <c r="H10" s="6"/>
      <c r="I10" s="6"/>
      <c r="J10" s="6"/>
      <c r="K10" s="6"/>
      <c r="L10" s="6"/>
      <c r="M10" s="6"/>
      <c r="N10" s="6"/>
      <c r="O10" s="6"/>
      <c r="P10" s="6"/>
      <c r="Q10" s="6"/>
    </row>
    <row r="11" spans="1:18" ht="28.2" customHeight="1" x14ac:dyDescent="1.05">
      <c r="A11" s="6"/>
      <c r="B11" s="19"/>
      <c r="C11" s="19"/>
      <c r="D11" s="6"/>
      <c r="E11" s="6"/>
      <c r="F11" s="6"/>
      <c r="G11" s="6"/>
      <c r="H11" s="6"/>
      <c r="I11" s="6"/>
      <c r="J11" s="6"/>
      <c r="K11" s="6"/>
      <c r="L11" s="6"/>
      <c r="M11" s="6"/>
      <c r="N11" s="6"/>
      <c r="O11" s="6"/>
      <c r="P11" s="6"/>
      <c r="Q11" s="6"/>
    </row>
    <row r="12" spans="1:18" ht="18" x14ac:dyDescent="0.35">
      <c r="A12" s="6"/>
      <c r="B12" s="6"/>
      <c r="C12" s="6"/>
      <c r="D12" s="6"/>
      <c r="E12" s="16" t="s">
        <v>148</v>
      </c>
      <c r="F12" s="16" t="s">
        <v>151</v>
      </c>
      <c r="G12" s="6"/>
      <c r="H12" s="6"/>
      <c r="I12" s="6"/>
      <c r="J12" s="6"/>
      <c r="K12" s="6"/>
      <c r="L12" s="6"/>
      <c r="M12" s="6"/>
      <c r="N12" s="6"/>
      <c r="O12" s="6"/>
      <c r="P12" s="6"/>
      <c r="Q12" s="6"/>
    </row>
    <row r="13" spans="1:18" ht="18" x14ac:dyDescent="0.35">
      <c r="A13" s="6"/>
      <c r="B13" s="6"/>
      <c r="C13" s="6"/>
      <c r="D13" s="6"/>
      <c r="E13" s="17" t="s">
        <v>28</v>
      </c>
      <c r="F13" s="38">
        <v>2</v>
      </c>
      <c r="G13" s="6"/>
      <c r="H13" s="6"/>
      <c r="I13" s="6"/>
      <c r="J13" s="6"/>
      <c r="K13" s="20" t="s">
        <v>148</v>
      </c>
      <c r="L13" s="20" t="s">
        <v>166</v>
      </c>
      <c r="M13" s="20" t="s">
        <v>156</v>
      </c>
      <c r="N13" s="6"/>
      <c r="O13" s="6"/>
      <c r="P13" s="6"/>
      <c r="Q13" s="6"/>
    </row>
    <row r="14" spans="1:18" ht="18" x14ac:dyDescent="0.35">
      <c r="A14" s="6"/>
      <c r="B14" s="6"/>
      <c r="C14" s="6"/>
      <c r="D14" s="6"/>
      <c r="E14" s="17" t="s">
        <v>12</v>
      </c>
      <c r="F14" s="38">
        <v>4</v>
      </c>
      <c r="G14" s="6"/>
      <c r="H14" s="6"/>
      <c r="I14" s="6"/>
      <c r="J14" s="6"/>
      <c r="K14" s="21" t="s">
        <v>167</v>
      </c>
      <c r="L14" s="37"/>
      <c r="M14" s="37"/>
      <c r="N14" s="6"/>
      <c r="O14" s="6"/>
      <c r="P14" s="6"/>
      <c r="Q14" s="6"/>
    </row>
    <row r="15" spans="1:18" ht="18" x14ac:dyDescent="0.35">
      <c r="A15" s="6"/>
      <c r="B15" s="6"/>
      <c r="C15" s="6"/>
      <c r="D15" s="6"/>
      <c r="E15" s="17" t="s">
        <v>18</v>
      </c>
      <c r="F15" s="38">
        <v>2</v>
      </c>
      <c r="G15" s="6"/>
      <c r="H15" s="6"/>
      <c r="I15" s="6"/>
      <c r="J15" s="6"/>
      <c r="K15" s="21" t="s">
        <v>157</v>
      </c>
      <c r="L15" s="22">
        <v>5.9751666666666656</v>
      </c>
      <c r="M15" s="22">
        <v>7.4824999999999999</v>
      </c>
      <c r="N15" s="6"/>
      <c r="O15" s="6"/>
      <c r="P15" s="6"/>
      <c r="Q15" s="6"/>
    </row>
    <row r="16" spans="1:18" ht="18" x14ac:dyDescent="0.35">
      <c r="A16" s="6"/>
      <c r="B16" s="6"/>
      <c r="C16" s="6"/>
      <c r="D16" s="6"/>
      <c r="E16" s="17" t="s">
        <v>9</v>
      </c>
      <c r="F16" s="38">
        <v>2</v>
      </c>
      <c r="G16" s="6"/>
      <c r="H16" s="6"/>
      <c r="I16" s="6"/>
      <c r="J16" s="6"/>
      <c r="K16" s="23" t="s">
        <v>152</v>
      </c>
      <c r="L16" s="22">
        <v>6.05</v>
      </c>
      <c r="M16" s="22">
        <v>7.5048387096774194</v>
      </c>
      <c r="N16" s="6"/>
      <c r="O16" s="6"/>
      <c r="P16" s="6"/>
      <c r="Q16" s="6"/>
    </row>
    <row r="17" spans="1:17" ht="18" x14ac:dyDescent="0.35">
      <c r="A17" s="6"/>
      <c r="B17" s="6"/>
      <c r="C17" s="6"/>
      <c r="D17" s="6"/>
      <c r="E17" s="17" t="s">
        <v>22</v>
      </c>
      <c r="F17" s="38">
        <v>5</v>
      </c>
      <c r="G17" s="6"/>
      <c r="H17" s="6"/>
      <c r="I17" s="6"/>
      <c r="J17" s="6"/>
      <c r="K17" s="23" t="s">
        <v>153</v>
      </c>
      <c r="L17" s="22">
        <v>6.1725000000000012</v>
      </c>
      <c r="M17" s="22">
        <v>7.4264285714285725</v>
      </c>
      <c r="N17" s="6"/>
      <c r="O17" s="6"/>
      <c r="P17" s="6"/>
      <c r="Q17" s="6"/>
    </row>
    <row r="18" spans="1:17" ht="18" x14ac:dyDescent="0.35">
      <c r="A18" s="6"/>
      <c r="B18" s="6"/>
      <c r="C18" s="6"/>
      <c r="D18" s="6"/>
      <c r="E18" s="17" t="s">
        <v>16</v>
      </c>
      <c r="F18" s="38">
        <v>2</v>
      </c>
      <c r="G18" s="6"/>
      <c r="H18" s="6"/>
      <c r="I18" s="6"/>
      <c r="J18" s="6"/>
      <c r="K18" s="23" t="s">
        <v>154</v>
      </c>
      <c r="L18" s="22">
        <v>6.0706451612903223</v>
      </c>
      <c r="M18" s="22">
        <v>7.4870967741935495</v>
      </c>
      <c r="N18" s="6"/>
      <c r="O18" s="6"/>
      <c r="P18" s="6"/>
      <c r="Q18" s="6"/>
    </row>
    <row r="19" spans="1:17" ht="18" x14ac:dyDescent="0.35">
      <c r="A19" s="6"/>
      <c r="B19" s="6"/>
      <c r="C19" s="6"/>
      <c r="D19" s="6"/>
      <c r="E19" s="18" t="s">
        <v>149</v>
      </c>
      <c r="F19" s="39">
        <v>17</v>
      </c>
      <c r="G19" s="6"/>
      <c r="H19" s="6"/>
      <c r="I19" s="6"/>
      <c r="J19" s="6"/>
      <c r="K19" s="23" t="s">
        <v>155</v>
      </c>
      <c r="L19" s="22">
        <v>5.6149999999999993</v>
      </c>
      <c r="M19" s="22">
        <v>7.506999999999997</v>
      </c>
      <c r="N19" s="6"/>
      <c r="O19" s="6"/>
      <c r="P19" s="6"/>
      <c r="Q19" s="6"/>
    </row>
    <row r="20" spans="1:17" ht="18" x14ac:dyDescent="0.35">
      <c r="A20" s="6"/>
      <c r="B20" s="6"/>
      <c r="C20" s="6"/>
      <c r="D20" s="6"/>
      <c r="E20" s="6"/>
      <c r="F20" s="6"/>
      <c r="G20" s="6"/>
      <c r="H20" s="6"/>
      <c r="I20" s="6"/>
      <c r="J20" s="6"/>
      <c r="K20" s="21" t="s">
        <v>149</v>
      </c>
      <c r="L20" s="24">
        <v>5.9751666666666656</v>
      </c>
      <c r="M20" s="24">
        <v>7.4824999999999999</v>
      </c>
      <c r="N20" s="6"/>
      <c r="O20" s="6"/>
      <c r="P20" s="6"/>
      <c r="Q20" s="6"/>
    </row>
    <row r="21" spans="1:17" x14ac:dyDescent="0.3">
      <c r="A21" s="6"/>
      <c r="B21" s="6"/>
      <c r="C21" s="6"/>
      <c r="D21" s="6"/>
      <c r="E21" s="6"/>
      <c r="F21" s="6"/>
      <c r="G21" s="6"/>
      <c r="H21" s="6"/>
      <c r="I21" s="6"/>
      <c r="J21" s="6"/>
      <c r="K21" s="6"/>
      <c r="L21" s="6"/>
      <c r="M21" s="6"/>
      <c r="N21" s="6"/>
      <c r="O21" s="6"/>
      <c r="P21" s="6"/>
      <c r="Q21" s="6"/>
    </row>
    <row r="22" spans="1:17" x14ac:dyDescent="0.3">
      <c r="A22" s="6"/>
      <c r="B22" s="6"/>
      <c r="C22" s="6"/>
      <c r="D22" s="6"/>
      <c r="E22" s="6"/>
      <c r="F22" s="6"/>
      <c r="G22" s="6"/>
      <c r="H22" s="6"/>
      <c r="I22" s="6"/>
      <c r="J22" s="6"/>
      <c r="K22" s="6"/>
      <c r="L22" s="6"/>
      <c r="M22" s="6"/>
      <c r="N22" s="6"/>
      <c r="O22" s="6"/>
      <c r="P22" s="6"/>
      <c r="Q22" s="6"/>
    </row>
    <row r="23" spans="1:17" x14ac:dyDescent="0.3">
      <c r="A23" s="6"/>
      <c r="B23" s="6"/>
      <c r="C23" s="6"/>
      <c r="D23" s="6"/>
      <c r="E23" s="6"/>
      <c r="F23" s="6"/>
      <c r="G23" s="6"/>
      <c r="H23" s="6"/>
      <c r="I23" s="6"/>
      <c r="J23" s="6"/>
      <c r="K23" s="6"/>
      <c r="L23" s="6"/>
      <c r="M23" s="6"/>
      <c r="N23" s="6"/>
      <c r="O23" s="6"/>
      <c r="P23" s="6"/>
      <c r="Q23" s="6"/>
    </row>
    <row r="24" spans="1:17" x14ac:dyDescent="0.3">
      <c r="A24" s="6"/>
      <c r="B24" s="6"/>
      <c r="C24" s="6"/>
      <c r="D24" s="6"/>
      <c r="E24" s="6"/>
      <c r="F24" s="6"/>
      <c r="G24" s="6"/>
      <c r="H24" s="6"/>
      <c r="I24" s="6"/>
      <c r="J24" s="6"/>
      <c r="K24" s="6"/>
      <c r="L24" s="6"/>
      <c r="M24" s="6"/>
      <c r="N24" s="6"/>
      <c r="O24" s="6"/>
      <c r="P24" s="6"/>
      <c r="Q24" s="6"/>
    </row>
    <row r="25" spans="1:17" x14ac:dyDescent="0.3">
      <c r="A25" s="6"/>
      <c r="B25" s="6"/>
      <c r="C25" s="6"/>
      <c r="D25" s="6"/>
      <c r="E25" s="6"/>
      <c r="F25" s="6"/>
      <c r="G25" s="6"/>
      <c r="H25" s="6"/>
      <c r="I25" s="6"/>
      <c r="J25" s="6"/>
      <c r="K25" s="6"/>
      <c r="L25" s="6"/>
      <c r="M25" s="6"/>
      <c r="N25" s="6"/>
      <c r="O25" s="6"/>
      <c r="P25" s="6"/>
      <c r="Q25" s="6"/>
    </row>
    <row r="26" spans="1:17" x14ac:dyDescent="0.3">
      <c r="A26" s="6"/>
      <c r="B26" s="6"/>
      <c r="C26" s="6"/>
      <c r="D26" s="6"/>
      <c r="E26" s="6"/>
      <c r="F26" s="6"/>
      <c r="G26" s="6"/>
      <c r="H26" s="6"/>
      <c r="I26" s="6"/>
      <c r="J26" s="6"/>
      <c r="K26" s="6"/>
      <c r="L26" s="6"/>
      <c r="M26" s="6"/>
      <c r="N26" s="6"/>
      <c r="O26" s="6"/>
      <c r="P26" s="6"/>
      <c r="Q26" s="6"/>
    </row>
    <row r="27" spans="1:17" x14ac:dyDescent="0.3">
      <c r="A27" s="6"/>
      <c r="B27" s="6"/>
      <c r="C27" s="6"/>
      <c r="D27" s="6"/>
      <c r="E27" s="6"/>
      <c r="F27" s="6"/>
      <c r="G27" s="6"/>
      <c r="H27" s="6"/>
      <c r="I27" s="6"/>
      <c r="J27" s="6"/>
      <c r="K27" s="6"/>
      <c r="L27" s="6"/>
      <c r="M27" s="6"/>
      <c r="N27" s="6"/>
      <c r="O27" s="6"/>
      <c r="P27" s="6"/>
      <c r="Q27" s="6"/>
    </row>
    <row r="28" spans="1:17" x14ac:dyDescent="0.3">
      <c r="A28" s="6"/>
      <c r="B28" s="6"/>
      <c r="C28" s="6"/>
      <c r="D28" s="6"/>
      <c r="E28" s="25"/>
      <c r="F28" s="6"/>
      <c r="G28" s="6"/>
      <c r="H28" s="6"/>
      <c r="I28" s="6"/>
      <c r="J28" s="6"/>
      <c r="K28" s="6"/>
      <c r="L28" s="6"/>
      <c r="M28" s="6"/>
      <c r="N28" s="6"/>
      <c r="O28" s="6"/>
      <c r="P28" s="6"/>
      <c r="Q28" s="6"/>
    </row>
    <row r="29" spans="1:17" x14ac:dyDescent="0.3">
      <c r="A29" s="6"/>
      <c r="B29" s="6"/>
      <c r="C29" s="6"/>
      <c r="D29" s="6"/>
      <c r="E29" s="6"/>
      <c r="F29" s="6"/>
      <c r="G29" s="6"/>
      <c r="H29" s="6"/>
      <c r="I29" s="6"/>
      <c r="J29" s="6"/>
      <c r="K29" s="25"/>
      <c r="L29" s="6"/>
      <c r="M29" s="6"/>
      <c r="N29" s="6"/>
      <c r="O29" s="6"/>
      <c r="P29" s="6"/>
      <c r="Q29" s="6"/>
    </row>
    <row r="30" spans="1:17" x14ac:dyDescent="0.3">
      <c r="A30" s="6"/>
      <c r="B30" s="6"/>
      <c r="C30" s="6"/>
      <c r="D30" s="6"/>
      <c r="E30" s="25" t="s">
        <v>160</v>
      </c>
      <c r="F30" s="6"/>
      <c r="G30" s="6"/>
      <c r="H30" s="25"/>
      <c r="I30" s="6"/>
      <c r="J30" s="6"/>
      <c r="K30" s="6"/>
      <c r="L30" s="6"/>
      <c r="M30" s="6"/>
      <c r="N30" s="6"/>
      <c r="O30" s="6"/>
      <c r="P30" s="6"/>
      <c r="Q30" s="6"/>
    </row>
    <row r="31" spans="1:17" ht="21" x14ac:dyDescent="0.4">
      <c r="A31" s="6"/>
      <c r="B31" s="6"/>
      <c r="C31" s="6"/>
      <c r="D31" s="6"/>
      <c r="E31" s="6"/>
      <c r="F31" s="6"/>
      <c r="G31" s="6"/>
      <c r="H31" s="6"/>
      <c r="I31" s="30"/>
      <c r="J31" s="30"/>
      <c r="K31" s="30"/>
      <c r="L31" s="30"/>
      <c r="M31" s="30"/>
      <c r="N31" s="6"/>
      <c r="O31" s="6"/>
      <c r="P31" s="6"/>
      <c r="Q31" s="6"/>
    </row>
    <row r="32" spans="1:17" ht="21" x14ac:dyDescent="0.4">
      <c r="A32" s="6"/>
      <c r="B32" s="6"/>
      <c r="C32" s="6"/>
      <c r="D32" s="6"/>
      <c r="E32" s="27" t="s">
        <v>145</v>
      </c>
      <c r="F32" s="27" t="s">
        <v>158</v>
      </c>
      <c r="G32" s="6"/>
      <c r="H32" s="6"/>
      <c r="I32" s="6"/>
      <c r="J32" s="6"/>
      <c r="K32" s="29"/>
      <c r="L32" s="29"/>
      <c r="M32" s="6"/>
      <c r="N32" s="6"/>
      <c r="O32" s="6"/>
      <c r="P32" s="6"/>
      <c r="Q32" s="6"/>
    </row>
    <row r="33" spans="1:17" ht="21" x14ac:dyDescent="0.4">
      <c r="A33" s="6"/>
      <c r="B33" s="6"/>
      <c r="C33" s="6"/>
      <c r="D33" s="6"/>
      <c r="E33" s="27"/>
      <c r="F33" s="27"/>
      <c r="G33" s="6"/>
      <c r="H33" s="29"/>
      <c r="I33" s="29"/>
      <c r="J33" s="32"/>
      <c r="K33" s="32"/>
      <c r="L33" s="32"/>
      <c r="M33" s="32"/>
      <c r="N33" s="32"/>
      <c r="O33" s="6"/>
      <c r="P33" s="6"/>
      <c r="Q33" s="6"/>
    </row>
    <row r="34" spans="1:17" ht="21" x14ac:dyDescent="0.4">
      <c r="A34" s="6"/>
      <c r="B34" s="6"/>
      <c r="C34" s="6"/>
      <c r="D34" s="6"/>
      <c r="E34" s="27" t="s">
        <v>0</v>
      </c>
      <c r="F34" s="27" t="s">
        <v>161</v>
      </c>
      <c r="G34" s="6"/>
      <c r="H34" s="6"/>
      <c r="I34" s="6"/>
      <c r="J34" s="32"/>
      <c r="K34" s="32"/>
      <c r="L34" s="32"/>
      <c r="M34" s="32"/>
      <c r="N34" s="32"/>
      <c r="O34" s="6"/>
      <c r="P34" s="6"/>
      <c r="Q34" s="6"/>
    </row>
    <row r="35" spans="1:17" ht="21" x14ac:dyDescent="0.4">
      <c r="A35" s="6"/>
      <c r="B35" s="6"/>
      <c r="C35" s="6"/>
      <c r="D35" s="6"/>
      <c r="E35" s="28">
        <v>45658</v>
      </c>
      <c r="F35" s="40">
        <v>126.5</v>
      </c>
      <c r="G35" s="6"/>
      <c r="H35" s="6"/>
      <c r="I35" s="6"/>
      <c r="J35" s="32"/>
      <c r="K35" s="32"/>
      <c r="L35" s="32"/>
      <c r="M35" s="32"/>
      <c r="N35" s="32"/>
      <c r="O35" s="6"/>
      <c r="P35" s="6"/>
      <c r="Q35" s="6"/>
    </row>
    <row r="36" spans="1:17" ht="21" x14ac:dyDescent="0.4">
      <c r="A36" s="6"/>
      <c r="B36" s="6"/>
      <c r="C36" s="6"/>
      <c r="D36" s="6"/>
      <c r="E36" s="28">
        <v>45659</v>
      </c>
      <c r="F36" s="40">
        <v>163</v>
      </c>
      <c r="G36" s="6"/>
      <c r="H36" s="6"/>
      <c r="I36" s="6"/>
      <c r="J36" s="32"/>
      <c r="K36" s="32"/>
      <c r="L36" s="32"/>
      <c r="M36" s="32"/>
      <c r="N36" s="32"/>
      <c r="O36" s="6"/>
      <c r="P36" s="6"/>
      <c r="Q36" s="6"/>
    </row>
    <row r="37" spans="1:17" ht="21" x14ac:dyDescent="0.4">
      <c r="A37" s="6"/>
      <c r="B37" s="6"/>
      <c r="C37" s="6"/>
      <c r="D37" s="6"/>
      <c r="E37" s="28">
        <v>45679</v>
      </c>
      <c r="F37" s="40">
        <v>294.39999999999998</v>
      </c>
      <c r="G37" s="6"/>
      <c r="H37" s="6"/>
      <c r="I37" s="6"/>
      <c r="J37" s="32"/>
      <c r="K37" s="32"/>
      <c r="L37" s="32"/>
      <c r="M37" s="32"/>
      <c r="N37" s="32"/>
      <c r="O37" s="6"/>
      <c r="P37" s="6"/>
      <c r="Q37" s="6"/>
    </row>
    <row r="38" spans="1:17" ht="21" x14ac:dyDescent="0.4">
      <c r="A38" s="6"/>
      <c r="B38" s="6"/>
      <c r="C38" s="6"/>
      <c r="D38" s="6"/>
      <c r="E38" s="28">
        <v>45681</v>
      </c>
      <c r="F38" s="40">
        <v>271.89999999999998</v>
      </c>
      <c r="G38" s="6"/>
      <c r="H38" s="6"/>
      <c r="I38" s="6"/>
      <c r="J38" s="6"/>
      <c r="K38" s="6"/>
      <c r="L38" s="6"/>
      <c r="M38" s="6"/>
      <c r="N38" s="6"/>
      <c r="O38" s="6"/>
      <c r="P38" s="6"/>
      <c r="Q38" s="6"/>
    </row>
    <row r="39" spans="1:17" ht="21" x14ac:dyDescent="0.4">
      <c r="A39" s="6"/>
      <c r="B39" s="6"/>
      <c r="C39" s="6"/>
      <c r="D39" s="6"/>
      <c r="E39" s="28">
        <v>45684</v>
      </c>
      <c r="F39" s="40">
        <v>192.3</v>
      </c>
      <c r="G39" s="6"/>
      <c r="H39" s="6"/>
      <c r="I39" s="6"/>
      <c r="J39" s="6"/>
      <c r="K39" s="6"/>
      <c r="L39" s="6"/>
      <c r="M39" s="6"/>
      <c r="N39" s="6"/>
      <c r="O39" s="6"/>
      <c r="P39" s="6"/>
      <c r="Q39" s="6"/>
    </row>
    <row r="40" spans="1:17" ht="21" x14ac:dyDescent="0.4">
      <c r="A40" s="6"/>
      <c r="B40" s="6"/>
      <c r="C40" s="6"/>
      <c r="D40" s="6"/>
      <c r="E40" s="28">
        <v>45685</v>
      </c>
      <c r="F40" s="40">
        <v>316.10000000000002</v>
      </c>
      <c r="G40" s="6"/>
      <c r="H40" s="6"/>
      <c r="I40" s="6"/>
      <c r="J40" s="6"/>
      <c r="K40" s="6"/>
      <c r="L40" s="6"/>
      <c r="M40" s="6"/>
      <c r="N40" s="6"/>
      <c r="O40" s="6"/>
      <c r="P40" s="6"/>
      <c r="Q40" s="6"/>
    </row>
    <row r="41" spans="1:17" ht="21" x14ac:dyDescent="0.4">
      <c r="A41" s="6"/>
      <c r="B41" s="6"/>
      <c r="C41" s="6"/>
      <c r="D41" s="6"/>
      <c r="E41" s="28">
        <v>45689</v>
      </c>
      <c r="F41" s="40">
        <v>81.099999999999994</v>
      </c>
      <c r="G41" s="6"/>
      <c r="H41" s="6"/>
      <c r="I41" s="6"/>
      <c r="J41" s="6"/>
      <c r="K41" s="6"/>
      <c r="L41" s="6"/>
      <c r="M41" s="6"/>
      <c r="N41" s="6"/>
      <c r="O41" s="6"/>
      <c r="P41" s="6"/>
      <c r="Q41" s="6"/>
    </row>
    <row r="42" spans="1:17" ht="21" x14ac:dyDescent="0.4">
      <c r="A42" s="6"/>
      <c r="B42" s="6"/>
      <c r="C42" s="6"/>
      <c r="D42" s="6"/>
      <c r="E42" s="28">
        <v>45710</v>
      </c>
      <c r="F42" s="40">
        <v>235.8</v>
      </c>
      <c r="G42" s="6"/>
      <c r="H42" s="6"/>
      <c r="I42" s="6"/>
      <c r="J42" s="6"/>
      <c r="K42" s="6"/>
      <c r="L42" s="6"/>
      <c r="M42" s="6"/>
      <c r="N42" s="6"/>
      <c r="O42" s="6"/>
      <c r="P42" s="6"/>
      <c r="Q42" s="6"/>
    </row>
    <row r="43" spans="1:17" ht="21" x14ac:dyDescent="0.4">
      <c r="A43" s="6"/>
      <c r="B43" s="6"/>
      <c r="C43" s="6"/>
      <c r="D43" s="6"/>
      <c r="E43" s="28">
        <v>45758</v>
      </c>
      <c r="F43" s="40">
        <v>225.4</v>
      </c>
      <c r="G43" s="6"/>
      <c r="H43" s="6"/>
      <c r="I43" s="6"/>
      <c r="J43" s="6"/>
      <c r="K43" s="6"/>
      <c r="L43" s="6"/>
      <c r="M43" s="6"/>
      <c r="N43" s="6"/>
      <c r="O43" s="6"/>
      <c r="P43" s="6"/>
      <c r="Q43" s="6"/>
    </row>
    <row r="44" spans="1:17" ht="21" x14ac:dyDescent="0.4">
      <c r="A44" s="6"/>
      <c r="B44" s="6"/>
      <c r="C44" s="6"/>
      <c r="D44" s="6"/>
      <c r="E44" s="28">
        <v>45771</v>
      </c>
      <c r="F44" s="40">
        <v>193.6</v>
      </c>
      <c r="G44" s="6"/>
      <c r="H44" s="6"/>
      <c r="I44" s="6"/>
      <c r="J44" s="6"/>
      <c r="K44" s="6"/>
      <c r="L44" s="6"/>
      <c r="M44" s="6"/>
      <c r="N44" s="6"/>
      <c r="O44" s="6"/>
      <c r="P44" s="6"/>
      <c r="Q44" s="6"/>
    </row>
    <row r="45" spans="1:17" ht="21" x14ac:dyDescent="0.4">
      <c r="A45" s="6"/>
      <c r="B45" s="6"/>
      <c r="C45" s="6"/>
      <c r="D45" s="6"/>
      <c r="E45" s="27" t="s">
        <v>168</v>
      </c>
      <c r="F45" s="40"/>
      <c r="G45" s="6"/>
      <c r="H45" s="6"/>
      <c r="I45" s="6"/>
      <c r="J45" s="6"/>
      <c r="K45" s="6"/>
      <c r="L45" s="6"/>
      <c r="M45" s="6"/>
      <c r="N45" s="6"/>
      <c r="O45" s="6"/>
      <c r="P45" s="6"/>
      <c r="Q45" s="6"/>
    </row>
    <row r="46" spans="1:17" ht="21" x14ac:dyDescent="0.4">
      <c r="A46" s="6"/>
      <c r="B46" s="6"/>
      <c r="C46" s="6"/>
      <c r="D46" s="6"/>
      <c r="E46" s="26" t="s">
        <v>149</v>
      </c>
      <c r="F46" s="41">
        <v>210.01</v>
      </c>
      <c r="G46" s="6"/>
      <c r="H46" s="6"/>
      <c r="I46" s="6"/>
      <c r="J46" s="6"/>
      <c r="K46" s="6"/>
      <c r="L46" s="6"/>
      <c r="M46" s="6"/>
      <c r="N46" s="6"/>
      <c r="O46" s="6"/>
      <c r="P46" s="6"/>
      <c r="Q46" s="6"/>
    </row>
    <row r="47" spans="1:17" x14ac:dyDescent="0.3">
      <c r="A47" s="6"/>
      <c r="B47" s="6"/>
      <c r="C47" s="6"/>
      <c r="D47" s="6"/>
      <c r="E47" s="6"/>
      <c r="F47" s="6"/>
      <c r="G47" s="6"/>
      <c r="H47" s="6"/>
      <c r="I47" s="6"/>
      <c r="J47" s="6"/>
      <c r="K47" s="6"/>
      <c r="L47" s="6"/>
      <c r="M47" s="6"/>
      <c r="N47" s="6"/>
      <c r="O47" s="6"/>
      <c r="P47" s="6"/>
    </row>
    <row r="48" spans="1:17" x14ac:dyDescent="0.3">
      <c r="A48" s="6"/>
      <c r="B48" s="6"/>
      <c r="C48" s="6"/>
      <c r="D48" s="6"/>
      <c r="E48" s="6"/>
      <c r="F48" s="6"/>
      <c r="G48" s="6"/>
      <c r="H48" s="6"/>
      <c r="I48" s="6"/>
      <c r="J48" s="6"/>
      <c r="K48" s="6"/>
      <c r="L48" s="6"/>
      <c r="M48" s="6"/>
      <c r="N48" s="6"/>
      <c r="O48" s="6"/>
      <c r="P48" s="6"/>
      <c r="Q48" s="6"/>
    </row>
    <row r="49" spans="1:17" x14ac:dyDescent="0.3">
      <c r="A49" s="6"/>
      <c r="B49" s="6"/>
      <c r="C49" s="6"/>
      <c r="D49" s="6"/>
      <c r="E49" s="6"/>
      <c r="F49" s="6"/>
      <c r="G49" s="6"/>
      <c r="H49" s="6"/>
      <c r="I49" s="6"/>
      <c r="J49" s="6"/>
      <c r="K49" s="6"/>
      <c r="L49" s="6"/>
      <c r="M49" s="6"/>
      <c r="N49" s="6"/>
      <c r="O49" s="6"/>
      <c r="P49" s="6"/>
      <c r="Q49" s="6"/>
    </row>
    <row r="50" spans="1:17" x14ac:dyDescent="0.3">
      <c r="A50" s="6"/>
      <c r="B50" s="6"/>
      <c r="C50" s="6"/>
      <c r="D50" s="6"/>
      <c r="E50" s="6"/>
      <c r="F50" s="6"/>
      <c r="G50" s="6"/>
      <c r="H50" s="6"/>
      <c r="I50" s="6"/>
      <c r="J50" s="6"/>
      <c r="K50" s="6"/>
      <c r="L50" s="6"/>
      <c r="M50" s="6"/>
      <c r="N50" s="6"/>
      <c r="O50" s="6"/>
      <c r="P50" s="6"/>
      <c r="Q50" s="6"/>
    </row>
    <row r="51" spans="1:17" x14ac:dyDescent="0.3">
      <c r="A51" s="12"/>
      <c r="B51" s="12"/>
      <c r="C51" s="12"/>
      <c r="D51" s="12"/>
    </row>
    <row r="52" spans="1:17" x14ac:dyDescent="0.3">
      <c r="A52" s="12"/>
      <c r="B52" s="12"/>
      <c r="C52" s="12"/>
      <c r="D52" s="12"/>
    </row>
    <row r="53" spans="1:17" x14ac:dyDescent="0.3">
      <c r="A53" s="12"/>
      <c r="B53" s="12"/>
      <c r="C53" s="12"/>
      <c r="D53" s="12"/>
    </row>
    <row r="54" spans="1:17" x14ac:dyDescent="0.3">
      <c r="A54" s="12"/>
      <c r="B54" s="12"/>
      <c r="C54" s="12"/>
      <c r="D54" s="12"/>
    </row>
    <row r="55" spans="1:17" x14ac:dyDescent="0.3">
      <c r="A55" s="12"/>
      <c r="B55" s="12"/>
      <c r="C55" s="12"/>
      <c r="D55" s="12"/>
    </row>
    <row r="56" spans="1:17" x14ac:dyDescent="0.3">
      <c r="A56" s="12"/>
      <c r="B56" s="12"/>
      <c r="C56" s="12"/>
      <c r="D56" s="12"/>
    </row>
  </sheetData>
  <mergeCells count="7">
    <mergeCell ref="A1:Q1"/>
    <mergeCell ref="F2:J4"/>
    <mergeCell ref="J33:N37"/>
    <mergeCell ref="J6:J8"/>
    <mergeCell ref="K2:P5"/>
    <mergeCell ref="A2:E5"/>
    <mergeCell ref="B6:E8"/>
  </mergeCells>
  <phoneticPr fontId="3" type="noConversion"/>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FC285-95FF-4852-8435-0031B18B345D}">
  <dimension ref="A1:C4"/>
  <sheetViews>
    <sheetView workbookViewId="0">
      <selection activeCell="K9" sqref="K9"/>
    </sheetView>
  </sheetViews>
  <sheetFormatPr defaultRowHeight="14.4" x14ac:dyDescent="0.3"/>
  <cols>
    <col min="1" max="1" width="13.77734375" customWidth="1"/>
    <col min="2" max="2" width="13.109375" customWidth="1"/>
    <col min="3" max="3" width="12.77734375" customWidth="1"/>
  </cols>
  <sheetData>
    <row r="1" spans="1:3" x14ac:dyDescent="0.3">
      <c r="A1" s="2" t="s">
        <v>138</v>
      </c>
      <c r="B1" s="2" t="s">
        <v>139</v>
      </c>
      <c r="C1" s="2" t="s">
        <v>140</v>
      </c>
    </row>
    <row r="2" spans="1:3" x14ac:dyDescent="0.3">
      <c r="A2" s="3" t="s">
        <v>2</v>
      </c>
      <c r="B2" s="3">
        <v>6.5</v>
      </c>
      <c r="C2" s="3">
        <v>8.5</v>
      </c>
    </row>
    <row r="3" spans="1:3" ht="28.8" x14ac:dyDescent="0.3">
      <c r="A3" s="3" t="s">
        <v>3</v>
      </c>
      <c r="B3" s="3">
        <v>0</v>
      </c>
      <c r="C3" s="3">
        <v>5</v>
      </c>
    </row>
    <row r="4" spans="1:3" ht="28.8" x14ac:dyDescent="0.3">
      <c r="A4" s="3" t="s">
        <v>5</v>
      </c>
      <c r="B4" s="3">
        <v>0</v>
      </c>
      <c r="C4" s="3">
        <v>250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34E5-4FE2-4126-B21D-156F73711568}">
  <dimension ref="B2:D18"/>
  <sheetViews>
    <sheetView showGridLines="0" workbookViewId="0">
      <selection activeCell="K24" sqref="K24"/>
    </sheetView>
  </sheetViews>
  <sheetFormatPr defaultRowHeight="14.4" x14ac:dyDescent="0.3"/>
  <cols>
    <col min="2" max="2" width="3.6640625" customWidth="1"/>
    <col min="3" max="3" width="15.109375" bestFit="1" customWidth="1"/>
    <col min="4" max="4" width="27.88671875" bestFit="1" customWidth="1"/>
  </cols>
  <sheetData>
    <row r="2" spans="2:4" x14ac:dyDescent="0.3">
      <c r="B2" s="5" t="s">
        <v>160</v>
      </c>
    </row>
    <row r="4" spans="2:4" x14ac:dyDescent="0.3">
      <c r="C4" s="4" t="s">
        <v>145</v>
      </c>
      <c r="D4" t="s">
        <v>158</v>
      </c>
    </row>
    <row r="6" spans="2:4" x14ac:dyDescent="0.3">
      <c r="C6" s="4" t="s">
        <v>0</v>
      </c>
      <c r="D6" t="s">
        <v>161</v>
      </c>
    </row>
    <row r="7" spans="2:4" x14ac:dyDescent="0.3">
      <c r="C7" s="1">
        <v>45658</v>
      </c>
      <c r="D7" s="36">
        <v>126.5</v>
      </c>
    </row>
    <row r="8" spans="2:4" x14ac:dyDescent="0.3">
      <c r="C8" s="1">
        <v>45659</v>
      </c>
      <c r="D8" s="36">
        <v>163</v>
      </c>
    </row>
    <row r="9" spans="2:4" x14ac:dyDescent="0.3">
      <c r="C9" s="1">
        <v>45679</v>
      </c>
      <c r="D9" s="36">
        <v>294.39999999999998</v>
      </c>
    </row>
    <row r="10" spans="2:4" x14ac:dyDescent="0.3">
      <c r="C10" s="1">
        <v>45681</v>
      </c>
      <c r="D10" s="36">
        <v>271.89999999999998</v>
      </c>
    </row>
    <row r="11" spans="2:4" x14ac:dyDescent="0.3">
      <c r="C11" s="1">
        <v>45684</v>
      </c>
      <c r="D11" s="36">
        <v>192.3</v>
      </c>
    </row>
    <row r="12" spans="2:4" x14ac:dyDescent="0.3">
      <c r="C12" s="1">
        <v>45685</v>
      </c>
      <c r="D12" s="36">
        <v>316.10000000000002</v>
      </c>
    </row>
    <row r="13" spans="2:4" x14ac:dyDescent="0.3">
      <c r="C13" s="1">
        <v>45689</v>
      </c>
      <c r="D13" s="36">
        <v>81.099999999999994</v>
      </c>
    </row>
    <row r="14" spans="2:4" x14ac:dyDescent="0.3">
      <c r="C14" s="1">
        <v>45710</v>
      </c>
      <c r="D14" s="36">
        <v>235.8</v>
      </c>
    </row>
    <row r="15" spans="2:4" x14ac:dyDescent="0.3">
      <c r="C15" s="1">
        <v>45758</v>
      </c>
      <c r="D15" s="36">
        <v>225.4</v>
      </c>
    </row>
    <row r="16" spans="2:4" x14ac:dyDescent="0.3">
      <c r="C16" s="1">
        <v>45771</v>
      </c>
      <c r="D16" s="36">
        <v>193.6</v>
      </c>
    </row>
    <row r="17" spans="3:4" x14ac:dyDescent="0.3">
      <c r="C17" t="s">
        <v>168</v>
      </c>
      <c r="D17" s="36"/>
    </row>
    <row r="18" spans="3:4" x14ac:dyDescent="0.3">
      <c r="C18" t="s">
        <v>149</v>
      </c>
      <c r="D18" s="36">
        <v>210.01</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DF4FCF-C470-4006-BAAA-B74BACEAC1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Datos_Agua</vt:lpstr>
      <vt:lpstr>LIMPIEZA DE DATOS</vt:lpstr>
      <vt:lpstr>DASHBOARD</vt:lpstr>
      <vt:lpstr>parametros</vt:lpstr>
      <vt:lpstr>LINEA 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linda torrado mancilla</cp:lastModifiedBy>
  <dcterms:created xsi:type="dcterms:W3CDTF">2026-02-25T17:06:44Z</dcterms:created>
  <dcterms:modified xsi:type="dcterms:W3CDTF">2026-02-25T22:06:25Z</dcterms:modified>
</cp:coreProperties>
</file>